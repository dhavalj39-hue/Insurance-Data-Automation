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BLE" sheetId="1" state="visible" r:id="rId1"/>
    <sheet xmlns:r="http://schemas.openxmlformats.org/officeDocument/2006/relationships" name="SQL READY" sheetId="2" state="visible" r:id="rId2"/>
    <sheet xmlns:r="http://schemas.openxmlformats.org/officeDocument/2006/relationships" name="COMPARISON DASHBOARD" sheetId="3" state="visible" r:id="rId3"/>
    <sheet xmlns:r="http://schemas.openxmlformats.org/officeDocument/2006/relationships" name="VERS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;(0.0);&quot;-&quot;"/>
    <numFmt numFmtId="166" formatCode="0.00x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9"/>
    </font>
    <font>
      <name val="Arial"/>
      <b val="1"/>
      <color rgb="007030A0"/>
      <sz val="9"/>
    </font>
    <font>
      <name val="Arial"/>
      <b val="1"/>
      <color rgb="001F3864"/>
      <sz val="9"/>
    </font>
    <font>
      <name val="Arial"/>
      <color rgb="000070C0"/>
      <sz val="9"/>
    </font>
    <font>
      <name val="Arial"/>
      <b val="1"/>
      <color rgb="00C00000"/>
      <sz val="9"/>
    </font>
    <font>
      <name val="Arial"/>
      <color rgb="00000000"/>
      <sz val="9"/>
    </font>
    <font>
      <name val="Arial"/>
      <color rgb="00595959"/>
      <sz val="8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0070C0"/>
      <sz val="9"/>
    </font>
    <font>
      <name val="Arial"/>
      <b val="1"/>
      <color rgb="008B2500"/>
      <sz val="9"/>
    </font>
    <font>
      <name val="Arial"/>
      <b val="1"/>
      <color rgb="004A235A"/>
      <sz val="9"/>
    </font>
    <font>
      <name val="Arial"/>
      <b val="1"/>
      <color rgb="00000000"/>
      <sz val="9"/>
    </font>
    <font>
      <name val="Arial"/>
      <b val="1"/>
      <color rgb="00888888"/>
      <sz val="9"/>
    </font>
    <font>
      <name val="Arial"/>
      <color rgb="00C00000"/>
      <sz val="9"/>
    </font>
    <font>
      <name val="Arial"/>
      <b val="1"/>
      <color rgb="007D4E00"/>
      <sz val="9"/>
    </font>
    <font>
      <name val="Arial"/>
      <b val="1"/>
      <color rgb="00FFFFFF"/>
      <sz val="13"/>
    </font>
    <font>
      <name val="Arial"/>
      <i val="1"/>
      <color rgb="00595959"/>
      <sz val="8"/>
    </font>
    <font>
      <name val="Arial"/>
      <b val="1"/>
      <color rgb="00FFFFFF"/>
      <sz val="12"/>
    </font>
    <font>
      <name val="Arial"/>
      <i val="1"/>
      <color rgb="007030A0"/>
      <sz val="9"/>
    </font>
    <font>
      <name val="Arial"/>
      <b val="1"/>
      <color rgb="001F3864"/>
      <sz val="10"/>
    </font>
    <font>
      <name val="Arial"/>
      <color rgb="000070C0"/>
      <sz val="10"/>
    </font>
    <font>
      <name val="Arial"/>
      <b val="1"/>
      <color rgb="00C00000"/>
      <sz val="10"/>
    </font>
    <font>
      <name val="Arial"/>
      <color rgb="00595959"/>
      <sz val="10"/>
    </font>
    <font>
      <name val="Arial"/>
      <color rgb="00000000"/>
      <sz val="10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1A5276"/>
      </patternFill>
    </fill>
    <fill>
      <patternFill patternType="solid">
        <fgColor rgb="00FFF2CC"/>
      </patternFill>
    </fill>
    <fill>
      <patternFill patternType="solid">
        <fgColor rgb="00185FA5"/>
      </patternFill>
    </fill>
    <fill>
      <patternFill patternType="solid">
        <fgColor rgb="000F6E56"/>
      </patternFill>
    </fill>
    <fill>
      <patternFill patternType="solid">
        <fgColor rgb="00854F0B"/>
      </patternFill>
    </fill>
    <fill>
      <patternFill patternType="solid">
        <fgColor rgb="006E2C00"/>
      </patternFill>
    </fill>
    <fill>
      <patternFill patternType="solid">
        <fgColor rgb="00534AB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D9D9"/>
      </patternFill>
    </fill>
    <fill>
      <patternFill patternType="solid">
        <fgColor rgb="00D9EAD3"/>
      </patternFill>
    </fill>
    <fill>
      <patternFill patternType="solid">
        <fgColor rgb="00FAE5D3"/>
      </patternFill>
    </fill>
    <fill>
      <patternFill patternType="solid">
        <fgColor rgb="00E8DAEF"/>
      </patternFill>
    </fill>
    <fill>
      <patternFill patternType="solid">
        <fgColor rgb="00EAD1FA"/>
      </patternFill>
    </fill>
    <fill>
      <patternFill patternType="solid">
        <fgColor rgb="00C9A84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164" fontId="5" fillId="12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center" vertical="center" wrapText="1"/>
    </xf>
    <xf numFmtId="164" fontId="6" fillId="12" borderId="1" applyAlignment="1" pivotButton="0" quotePrefix="0" xfId="0">
      <alignment horizontal="right" vertical="center"/>
    </xf>
    <xf numFmtId="165" fontId="5" fillId="13" borderId="1" applyAlignment="1" pivotButton="0" quotePrefix="0" xfId="0">
      <alignment horizontal="right" vertical="center"/>
    </xf>
    <xf numFmtId="165" fontId="7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right" vertical="center"/>
    </xf>
    <xf numFmtId="165" fontId="7" fillId="15" borderId="1" applyAlignment="1" pivotButton="0" quotePrefix="0" xfId="0">
      <alignment horizontal="center" vertical="center" wrapText="1"/>
    </xf>
    <xf numFmtId="166" fontId="7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164" fontId="5" fillId="17" borderId="1" applyAlignment="1" pivotButton="0" quotePrefix="0" xfId="0">
      <alignment horizontal="right" vertical="center"/>
    </xf>
    <xf numFmtId="164" fontId="6" fillId="17" borderId="1" applyAlignment="1" pivotButton="0" quotePrefix="0" xfId="0">
      <alignment horizontal="right" vertical="center"/>
    </xf>
    <xf numFmtId="0" fontId="5" fillId="1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right" vertical="center"/>
    </xf>
    <xf numFmtId="165" fontId="5" fillId="13" borderId="1" applyAlignment="1" pivotButton="0" quotePrefix="0" xfId="0">
      <alignment horizontal="center" vertical="center" wrapText="1"/>
    </xf>
    <xf numFmtId="164" fontId="5" fillId="18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center" vertical="center" wrapText="1"/>
    </xf>
    <xf numFmtId="164" fontId="6" fillId="18" borderId="1" applyAlignment="1" pivotButton="0" quotePrefix="0" xfId="0">
      <alignment horizontal="right" vertical="center"/>
    </xf>
    <xf numFmtId="164" fontId="5" fillId="19" borderId="1" applyAlignment="1" pivotButton="0" quotePrefix="0" xfId="0">
      <alignment horizontal="right" vertical="center"/>
    </xf>
    <xf numFmtId="0" fontId="5" fillId="19" borderId="1" applyAlignment="1" pivotButton="0" quotePrefix="0" xfId="0">
      <alignment horizontal="center" vertical="center" wrapText="1"/>
    </xf>
    <xf numFmtId="164" fontId="6" fillId="19" borderId="1" applyAlignment="1" pivotButton="0" quotePrefix="0" xfId="0">
      <alignment horizontal="right" vertical="center"/>
    </xf>
    <xf numFmtId="0" fontId="3" fillId="2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2" fillId="2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164" fontId="7" fillId="12" borderId="1" applyAlignment="1" pivotButton="0" quotePrefix="0" xfId="0">
      <alignment horizontal="center" vertical="center" wrapText="1"/>
    </xf>
    <xf numFmtId="164" fontId="16" fillId="12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164" fontId="7" fillId="17" borderId="1" applyAlignment="1" pivotButton="0" quotePrefix="0" xfId="0">
      <alignment horizontal="center" vertical="center" wrapText="1"/>
    </xf>
    <xf numFmtId="164" fontId="16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164" fontId="7" fillId="18" borderId="1" applyAlignment="1" pivotButton="0" quotePrefix="0" xfId="0">
      <alignment horizontal="center" vertical="center" wrapText="1"/>
    </xf>
    <xf numFmtId="164" fontId="16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 wrapText="1"/>
    </xf>
    <xf numFmtId="164" fontId="7" fillId="19" borderId="1" applyAlignment="1" pivotButton="0" quotePrefix="0" xfId="0">
      <alignment horizontal="center" vertical="center" wrapText="1"/>
    </xf>
    <xf numFmtId="164" fontId="16" fillId="19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2" fillId="11" borderId="0" applyAlignment="1" pivotButton="0" quotePrefix="0" xfId="0">
      <alignment vertical="center"/>
    </xf>
    <xf numFmtId="0" fontId="22" fillId="11" borderId="0" applyAlignment="1" pivotButton="0" quotePrefix="0" xfId="0">
      <alignment vertical="center" wrapText="1"/>
    </xf>
    <xf numFmtId="0" fontId="23" fillId="19" borderId="0" applyAlignment="1" pivotButton="0" quotePrefix="0" xfId="0">
      <alignment vertical="center"/>
    </xf>
    <xf numFmtId="0" fontId="24" fillId="19" borderId="0" applyAlignment="1" pivotButton="0" quotePrefix="0" xfId="0">
      <alignment vertical="center"/>
    </xf>
    <xf numFmtId="0" fontId="23" fillId="19" borderId="0" pivotButton="0" quotePrefix="0" xfId="0"/>
    <xf numFmtId="0" fontId="23" fillId="13" borderId="0" applyAlignment="1" pivotButton="0" quotePrefix="0" xfId="0">
      <alignment vertical="center"/>
    </xf>
    <xf numFmtId="0" fontId="26" fillId="13" borderId="0" pivotButton="0" quotePrefix="0" xfId="0"/>
    <xf numFmtId="0" fontId="23" fillId="14" borderId="0" applyAlignment="1" pivotButton="0" quotePrefix="0" xfId="0">
      <alignment vertical="center"/>
    </xf>
    <xf numFmtId="0" fontId="26" fillId="15" borderId="0" pivotButton="0" quotePrefix="0" xfId="0"/>
    <xf numFmtId="0" fontId="25" fillId="16" borderId="0" applyAlignment="1" pivotButton="0" quotePrefix="0" xfId="0">
      <alignment vertical="center" wrapText="1"/>
    </xf>
    <xf numFmtId="0" fontId="7" fillId="19" borderId="0" applyAlignment="1" pivotButton="0" quotePrefix="0" xfId="0">
      <alignment vertical="center" wrapText="1"/>
    </xf>
    <xf numFmtId="0" fontId="2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22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5" fillId="18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9" customWidth="1" min="4" max="4"/>
    <col width="20" customWidth="1" min="5" max="5"/>
    <col width="14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4" customWidth="1" min="13" max="13"/>
    <col width="14" customWidth="1" min="14" max="14"/>
    <col width="13" customWidth="1" min="15" max="15"/>
    <col width="12" customWidth="1" min="16" max="16"/>
    <col width="16" customWidth="1" min="17" max="17"/>
    <col width="16" customWidth="1" min="18" max="18"/>
    <col width="13" customWidth="1" min="19" max="19"/>
    <col width="13" customWidth="1" min="20" max="20"/>
    <col width="24" customWidth="1" min="21" max="21"/>
    <col width="52" customWidth="1" min="22" max="22"/>
  </cols>
  <sheetData>
    <row r="1" ht="34" customHeight="1">
      <c r="A1" s="1" t="inlineStr">
        <is>
          <t>LLOYD'S SYNDICATE MASTER DATABASE  —  v2</t>
        </is>
      </c>
    </row>
    <row r="2" ht="18" customHeight="1">
      <c r="A2" s="2" t="inlineStr">
        <is>
          <t>8 Records · 7 Syndicates · Years: 2013–2023 · Sources: 6 files (4 PDFs + 2 Excel uploads) · Last updated: 07 May 2026</t>
        </is>
      </c>
    </row>
    <row r="3" ht="16" customHeight="1">
      <c r="A3" s="3" t="inlineStr">
        <is>
          <t>NEW: QBE Casualty Syn 386 (FY2014)  |  Previous: Beazley Syn 623 (FY2023) · Antares Syn 1274 (FY2014) · Barbican Syn 1856 (FY2019)  |  Note: Beazley values in USD_000s; all others GBP_000s</t>
        </is>
      </c>
    </row>
    <row r="4" ht="20" customHeight="1">
      <c r="A4" s="4" t="inlineStr">
        <is>
          <t>HOW TO ADD NEW DATA → Copy Row 13 (yellow template) → paste below → fill blue columns with values from your PDF → leave pink columns alone (auto-calc)</t>
        </is>
      </c>
    </row>
    <row r="5" ht="18" customHeight="1">
      <c r="A5" s="5" t="inlineStr">
        <is>
          <t>IDENTITY</t>
        </is>
      </c>
      <c r="B5" s="81" t="n"/>
      <c r="C5" s="81" t="n"/>
      <c r="D5" s="81" t="n"/>
      <c r="E5" s="82" t="n"/>
      <c r="F5" s="6" t="inlineStr">
        <is>
          <t>P&amp;L METRICS</t>
        </is>
      </c>
      <c r="G5" s="81" t="n"/>
      <c r="H5" s="81" t="n"/>
      <c r="I5" s="81" t="n"/>
      <c r="J5" s="81" t="n"/>
      <c r="K5" s="81" t="n"/>
      <c r="L5" s="81" t="n"/>
      <c r="M5" s="81" t="n"/>
      <c r="N5" s="82" t="n"/>
      <c r="O5" s="7" t="inlineStr">
        <is>
          <t>RATIOS</t>
        </is>
      </c>
      <c r="P5" s="82" t="n"/>
      <c r="Q5" s="8" t="inlineStr">
        <is>
          <t>BALANCE SHEET</t>
        </is>
      </c>
      <c r="R5" s="82" t="n"/>
      <c r="S5" s="9" t="inlineStr">
        <is>
          <t>AUTO-CALC</t>
        </is>
      </c>
      <c r="T5" s="82" t="n"/>
      <c r="U5" s="10" t="inlineStr">
        <is>
          <t>METADATA</t>
        </is>
      </c>
      <c r="V5" s="82" t="n"/>
    </row>
    <row r="6" ht="36" customHeight="1">
      <c r="A6" s="5" t="inlineStr">
        <is>
          <t>Syn
No.</t>
        </is>
      </c>
      <c r="B6" s="5" t="inlineStr">
        <is>
          <t>Syndicate
Name</t>
        </is>
      </c>
      <c r="C6" s="5" t="inlineStr">
        <is>
          <t>Managing
Agent</t>
        </is>
      </c>
      <c r="D6" s="5" t="inlineStr">
        <is>
          <t>Year</t>
        </is>
      </c>
      <c r="E6" s="5" t="inlineStr">
        <is>
          <t>Report
Type</t>
        </is>
      </c>
      <c r="F6" s="6" t="inlineStr">
        <is>
          <t>GWP
000s</t>
        </is>
      </c>
      <c r="G6" s="6" t="inlineStr">
        <is>
          <t>NWP
000s</t>
        </is>
      </c>
      <c r="H6" s="6" t="inlineStr">
        <is>
          <t>NEP
000s</t>
        </is>
      </c>
      <c r="I6" s="6" t="inlineStr">
        <is>
          <t>Net Claims
000s</t>
        </is>
      </c>
      <c r="J6" s="6" t="inlineStr">
        <is>
          <t>Net OpEx
000s</t>
        </is>
      </c>
      <c r="K6" s="6" t="inlineStr">
        <is>
          <t>Inv Income
000s</t>
        </is>
      </c>
      <c r="L6" s="6" t="inlineStr">
        <is>
          <t>UW Profit
000s</t>
        </is>
      </c>
      <c r="M6" s="6" t="inlineStr">
        <is>
          <t>PBT
000s</t>
        </is>
      </c>
      <c r="N6" s="6" t="inlineStr">
        <is>
          <t>NEP Check
000s</t>
        </is>
      </c>
      <c r="O6" s="7" t="inlineStr">
        <is>
          <t>Combined
Ratio %</t>
        </is>
      </c>
      <c r="P6" s="7" t="inlineStr">
        <is>
          <t>Loss
Ratio %</t>
        </is>
      </c>
      <c r="Q6" s="8" t="inlineStr">
        <is>
          <t>Total Assets
000s</t>
        </is>
      </c>
      <c r="R6" s="8" t="inlineStr">
        <is>
          <t>Members
Funds 000s</t>
        </is>
      </c>
      <c r="S6" s="9" t="inlineStr">
        <is>
          <t>Profit
Margin %</t>
        </is>
      </c>
      <c r="T6" s="9" t="inlineStr">
        <is>
          <t>Asset
Turnover</t>
        </is>
      </c>
      <c r="U6" s="10" t="inlineStr">
        <is>
          <t>Currency
&amp; Source</t>
        </is>
      </c>
      <c r="V6" s="10" t="inlineStr">
        <is>
          <t>Notes / Flags</t>
        </is>
      </c>
    </row>
    <row r="7" ht="22" customHeight="1">
      <c r="A7" s="11" t="inlineStr">
        <is>
          <t>1225</t>
        </is>
      </c>
      <c r="B7" s="12" t="inlineStr">
        <is>
          <t>AEGIS London</t>
        </is>
      </c>
      <c r="C7" s="12" t="inlineStr">
        <is>
          <t>AEGIS Managing Agency Ltd</t>
        </is>
      </c>
      <c r="D7" s="11" t="inlineStr">
        <is>
          <t>2014</t>
        </is>
      </c>
      <c r="E7" s="11" t="inlineStr">
        <is>
          <t>Annual Accounts</t>
        </is>
      </c>
      <c r="F7" s="13" t="n">
        <v>371000</v>
      </c>
      <c r="G7" s="13" t="n">
        <v>307000</v>
      </c>
      <c r="H7" s="14" t="n"/>
      <c r="I7" s="15" t="n">
        <v>-138400</v>
      </c>
      <c r="J7" s="15" t="n">
        <v>-108000</v>
      </c>
      <c r="K7" s="13" t="n">
        <v>12700</v>
      </c>
      <c r="L7" s="13" t="n">
        <v>47800</v>
      </c>
      <c r="M7" s="13" t="n">
        <v>60500</v>
      </c>
      <c r="N7" s="14">
        <f>IF(AND(F7&lt;&gt;"",G7&lt;&gt;""),F7-G7,"—")</f>
        <v/>
      </c>
      <c r="O7" s="16" t="n">
        <v>83.5</v>
      </c>
      <c r="P7" s="17">
        <f>IF(AND(H7&lt;&gt;0,H7&lt;&gt;""),ROUND(I7/H7*-100,1),"n/a")</f>
        <v/>
      </c>
      <c r="Q7" s="18" t="n">
        <v>808600</v>
      </c>
      <c r="R7" s="18" t="n">
        <v>105600</v>
      </c>
      <c r="S7" s="19">
        <f>IF(AND(F7&lt;&gt;0,F7&lt;&gt;""),ROUND(M7/F7*100,1),"n/a")</f>
        <v/>
      </c>
      <c r="T7" s="20">
        <f>IF(AND(Q7&lt;&gt;0,Q7&lt;&gt;""),ROUND(F7/Q7,2),"n/a")</f>
        <v/>
      </c>
      <c r="U7" s="21" t="inlineStr">
        <is>
          <t>GBP_000s (conv from £m) | Aegis_London.pdf — Annual Report FY2014</t>
        </is>
      </c>
      <c r="V7" s="21" t="inlineStr">
        <is>
          <t>CR 83.5%; profit £60.5m; investment income up £7.7m to £12.7m</t>
        </is>
      </c>
    </row>
    <row r="8" ht="22" customHeight="1">
      <c r="A8" s="11" t="inlineStr">
        <is>
          <t>2488</t>
        </is>
      </c>
      <c r="B8" s="12" t="inlineStr">
        <is>
          <t>ACE Underwriting Agencies</t>
        </is>
      </c>
      <c r="C8" s="12" t="inlineStr">
        <is>
          <t>ACE Underwriting Agencies Ltd</t>
        </is>
      </c>
      <c r="D8" s="11" t="inlineStr">
        <is>
          <t>2014</t>
        </is>
      </c>
      <c r="E8" s="11" t="inlineStr">
        <is>
          <t>Annual Accounts</t>
        </is>
      </c>
      <c r="F8" s="13" t="n">
        <v>375327</v>
      </c>
      <c r="G8" s="13" t="n">
        <v>294950</v>
      </c>
      <c r="H8" s="13" t="n">
        <v>295720</v>
      </c>
      <c r="I8" s="15" t="n">
        <v>-66101</v>
      </c>
      <c r="J8" s="15" t="n">
        <v>-116015</v>
      </c>
      <c r="K8" s="13" t="n">
        <v>41041</v>
      </c>
      <c r="L8" s="13" t="n">
        <v>113600</v>
      </c>
      <c r="M8" s="13" t="n">
        <v>154645</v>
      </c>
      <c r="N8" s="14">
        <f>IF(AND(F8&lt;&gt;"",G8&lt;&gt;""),F8-G8,"—")</f>
        <v/>
      </c>
      <c r="O8" s="16" t="n">
        <v>61.6</v>
      </c>
      <c r="P8" s="17">
        <f>IF(AND(H8&lt;&gt;0,H8&lt;&gt;""),ROUND(I8/H8*-100,1),"n/a")</f>
        <v/>
      </c>
      <c r="Q8" s="18" t="n">
        <v>1809921</v>
      </c>
      <c r="R8" s="18" t="n">
        <v>463441</v>
      </c>
      <c r="S8" s="19">
        <f>IF(AND(F8&lt;&gt;0,F8&lt;&gt;""),ROUND(M8/F8*100,1),"n/a")</f>
        <v/>
      </c>
      <c r="T8" s="20">
        <f>IF(AND(Q8&lt;&gt;0,Q8&lt;&gt;""),ROUND(F8/Q8,2),"n/a")</f>
        <v/>
      </c>
      <c r="U8" s="21" t="inlineStr">
        <is>
          <t>GBP_000s | ACE_Underwriting_Agencies_Limited.pdf — Annual Report FY2014</t>
        </is>
      </c>
      <c r="V8" s="21" t="inlineStr">
        <is>
          <t>Profit £154.6m; CR 61.6%; prior year releases £103.7m; investment return £41.0m</t>
        </is>
      </c>
    </row>
    <row r="9" ht="22" customHeight="1">
      <c r="A9" s="11" t="inlineStr">
        <is>
          <t>6110</t>
        </is>
      </c>
      <c r="B9" s="12" t="inlineStr">
        <is>
          <t>Pembroke</t>
        </is>
      </c>
      <c r="C9" s="12" t="inlineStr">
        <is>
          <t>Pembroke Managing Agency Ltd</t>
        </is>
      </c>
      <c r="D9" s="11" t="inlineStr">
        <is>
          <t>2015</t>
        </is>
      </c>
      <c r="E9" s="11" t="inlineStr">
        <is>
          <t>Annual Accounts</t>
        </is>
      </c>
      <c r="F9" s="22" t="n">
        <v>1140</v>
      </c>
      <c r="G9" s="22" t="n">
        <v>1009</v>
      </c>
      <c r="H9" s="22" t="n">
        <v>2874</v>
      </c>
      <c r="I9" s="23" t="n">
        <v>-618</v>
      </c>
      <c r="J9" s="23" t="n">
        <v>-1328</v>
      </c>
      <c r="K9" s="22" t="n">
        <v>227</v>
      </c>
      <c r="L9" s="24" t="n"/>
      <c r="M9" s="22" t="n">
        <v>1242</v>
      </c>
      <c r="N9" s="24">
        <f>IF(AND(F9&lt;&gt;"",G9&lt;&gt;""),F9-G9,"—")</f>
        <v/>
      </c>
      <c r="O9" s="16" t="n">
        <v>67.7</v>
      </c>
      <c r="P9" s="17">
        <f>IF(AND(H9&lt;&gt;0,H9&lt;&gt;""),ROUND(I9/H9*-100,1),"n/a")</f>
        <v/>
      </c>
      <c r="Q9" s="18" t="n">
        <v>35606</v>
      </c>
      <c r="R9" s="25" t="n">
        <v>-134</v>
      </c>
      <c r="S9" s="19">
        <f>IF(AND(F9&lt;&gt;0,F9&lt;&gt;""),ROUND(M9/F9*100,1),"n/a")</f>
        <v/>
      </c>
      <c r="T9" s="20">
        <f>IF(AND(Q9&lt;&gt;0,Q9&lt;&gt;""),ROUND(F9/Q9,2),"n/a")</f>
        <v/>
      </c>
      <c r="U9" s="21" t="inlineStr">
        <is>
          <t>GBP_000s | pembroke.pdf — Annual Accounts FY2015</t>
        </is>
      </c>
      <c r="V9" s="21" t="inlineStr">
        <is>
          <t>Syndicate ceased underwriting; 2013 YoA closed by RTC 31-Dec-2015; CR 67.7%</t>
        </is>
      </c>
    </row>
    <row r="10" ht="22" customHeight="1">
      <c r="A10" s="11" t="inlineStr">
        <is>
          <t>6110</t>
        </is>
      </c>
      <c r="B10" s="12" t="inlineStr">
        <is>
          <t>Pembroke</t>
        </is>
      </c>
      <c r="C10" s="12" t="inlineStr">
        <is>
          <t>Pembroke Managing Agency Ltd</t>
        </is>
      </c>
      <c r="D10" s="11" t="inlineStr">
        <is>
          <t>2013</t>
        </is>
      </c>
      <c r="E10" s="11" t="inlineStr">
        <is>
          <t>Closed UY (36 months)</t>
        </is>
      </c>
      <c r="F10" s="22" t="n">
        <v>40988</v>
      </c>
      <c r="G10" s="22" t="n">
        <v>32650</v>
      </c>
      <c r="H10" s="22" t="n">
        <v>32650</v>
      </c>
      <c r="I10" s="23" t="n">
        <v>-25221</v>
      </c>
      <c r="J10" s="23" t="n">
        <v>-11628</v>
      </c>
      <c r="K10" s="22" t="n">
        <v>593</v>
      </c>
      <c r="L10" s="24" t="n"/>
      <c r="M10" s="22" t="n">
        <v>922</v>
      </c>
      <c r="N10" s="24">
        <f>IF(AND(F10&lt;&gt;"",G10&lt;&gt;""),F10-G10,"—")</f>
        <v/>
      </c>
      <c r="O10" s="26" t="inlineStr">
        <is>
          <t>NULL</t>
        </is>
      </c>
      <c r="P10" s="17">
        <f>IF(AND(H10&lt;&gt;0,H10&lt;&gt;""),ROUND(I10/H10*-100,1),"n/a")</f>
        <v/>
      </c>
      <c r="Q10" s="18" t="n">
        <v>35264</v>
      </c>
      <c r="R10" s="18" t="n">
        <v>472</v>
      </c>
      <c r="S10" s="19">
        <f>IF(AND(F10&lt;&gt;0,F10&lt;&gt;""),ROUND(M10/F10*100,1),"n/a")</f>
        <v/>
      </c>
      <c r="T10" s="20">
        <f>IF(AND(Q10&lt;&gt;0,Q10&lt;&gt;""),ROUND(F10/Q10,2),"n/a")</f>
        <v/>
      </c>
      <c r="U10" s="21" t="inlineStr">
        <is>
          <t>GBP_000s | pembroke.pdf — 2013 Closed UY Accounts</t>
        </is>
      </c>
      <c r="V10" s="21" t="inlineStr">
        <is>
          <t>36-month closed year; RTC premium £10.5m to Syn 4000; profit 2.05% of allotted capacity</t>
        </is>
      </c>
    </row>
    <row r="11" ht="22" customHeight="1">
      <c r="A11" s="11" t="inlineStr">
        <is>
          <t>623</t>
        </is>
      </c>
      <c r="B11" s="12" t="inlineStr">
        <is>
          <t>Beazley</t>
        </is>
      </c>
      <c r="C11" s="12" t="inlineStr">
        <is>
          <t>Beazley Furlonge Limited</t>
        </is>
      </c>
      <c r="D11" s="11" t="inlineStr">
        <is>
          <t>2023</t>
        </is>
      </c>
      <c r="E11" s="11" t="inlineStr">
        <is>
          <t>Annual Accounts</t>
        </is>
      </c>
      <c r="F11" s="27" t="n">
        <v>974700</v>
      </c>
      <c r="G11" s="27" t="n">
        <v>816700</v>
      </c>
      <c r="H11" s="28" t="n"/>
      <c r="I11" s="29" t="n">
        <v>-318200</v>
      </c>
      <c r="J11" s="29" t="n">
        <v>-296800</v>
      </c>
      <c r="K11" s="27" t="n">
        <v>59900</v>
      </c>
      <c r="L11" s="28" t="n"/>
      <c r="M11" s="27" t="n">
        <v>180800</v>
      </c>
      <c r="N11" s="28">
        <f>IF(AND(F11&lt;&gt;"",G11&lt;&gt;""),F11-G11,"—")</f>
        <v/>
      </c>
      <c r="O11" s="16" t="n">
        <v>84</v>
      </c>
      <c r="P11" s="17">
        <f>IF(AND(H11&lt;&gt;0,H11&lt;&gt;""),ROUND(I11/H11*-100,1),"n/a")</f>
        <v/>
      </c>
      <c r="Q11" s="18" t="n">
        <v>2299300</v>
      </c>
      <c r="R11" s="18" t="n">
        <v>201500</v>
      </c>
      <c r="S11" s="19">
        <f>IF(AND(F11&lt;&gt;0,F11&lt;&gt;""),ROUND(M11/F11*100,1),"n/a")</f>
        <v/>
      </c>
      <c r="T11" s="20">
        <f>IF(AND(Q11&lt;&gt;0,Q11&lt;&gt;""),ROUND(F11/Q11,2),"n/a")</f>
        <v/>
      </c>
      <c r="U11" s="21" t="inlineStr">
        <is>
          <t>USD_000s (conv from $m) | Beazley_Syndicate623_Analysis.xlsx — Annual Report &amp; Accounts FY2023</t>
        </is>
      </c>
      <c r="V11" s="21" t="inlineStr">
        <is>
          <t>Profit $180.8m; CR 84%; claims ratio 43%; prior year releases $58.7m; investment return $59.9m (5.3%); GWP +12.2%</t>
        </is>
      </c>
    </row>
    <row r="12" ht="22" customHeight="1">
      <c r="A12" s="11" t="inlineStr">
        <is>
          <t>1274</t>
        </is>
      </c>
      <c r="B12" s="12" t="inlineStr">
        <is>
          <t>Antares</t>
        </is>
      </c>
      <c r="C12" s="12" t="inlineStr">
        <is>
          <t>Antares Managing Agency Limited</t>
        </is>
      </c>
      <c r="D12" s="11" t="inlineStr">
        <is>
          <t>2014</t>
        </is>
      </c>
      <c r="E12" s="11" t="inlineStr">
        <is>
          <t>Annual Accounts</t>
        </is>
      </c>
      <c r="F12" s="30" t="n">
        <v>250576</v>
      </c>
      <c r="G12" s="30" t="n">
        <v>223317</v>
      </c>
      <c r="H12" s="31" t="n"/>
      <c r="I12" s="32" t="n">
        <v>-117603</v>
      </c>
      <c r="J12" s="32" t="n">
        <v>-73713</v>
      </c>
      <c r="K12" s="31" t="n"/>
      <c r="L12" s="31" t="n"/>
      <c r="M12" s="30" t="n">
        <v>18386</v>
      </c>
      <c r="N12" s="31">
        <f>IF(AND(F12&lt;&gt;"",G12&lt;&gt;""),F12-G12,"—")</f>
        <v/>
      </c>
      <c r="O12" s="16" t="n">
        <v>91.59999999999999</v>
      </c>
      <c r="P12" s="17">
        <f>IF(AND(H12&lt;&gt;0,H12&lt;&gt;""),ROUND(I12/H12*-100,1),"n/a")</f>
        <v/>
      </c>
      <c r="Q12" s="18" t="n">
        <v>482434</v>
      </c>
      <c r="R12" s="18" t="n">
        <v>33043</v>
      </c>
      <c r="S12" s="19">
        <f>IF(AND(F12&lt;&gt;0,F12&lt;&gt;""),ROUND(M12/F12*100,1),"n/a")</f>
        <v/>
      </c>
      <c r="T12" s="20">
        <f>IF(AND(Q12&lt;&gt;0,Q12&lt;&gt;""),ROUND(F12/Q12,2),"n/a")</f>
        <v/>
      </c>
      <c r="U12" s="21" t="inlineStr">
        <is>
          <t>GBP_000s | Lloyds_Syndicate_Analysis.xlsx — Annual Report FY2014</t>
        </is>
      </c>
      <c r="V12" s="21" t="inlineStr">
        <is>
          <t>3rd consecutive year of profit (£18.4m); low catastrophe activity; NWP +10.2%; CR 91.6%</t>
        </is>
      </c>
    </row>
    <row r="13" ht="22" customHeight="1">
      <c r="A13" s="11" t="inlineStr">
        <is>
          <t>1856</t>
        </is>
      </c>
      <c r="B13" s="12" t="inlineStr">
        <is>
          <t>Arcus / Barbican</t>
        </is>
      </c>
      <c r="C13" s="12" t="inlineStr">
        <is>
          <t>Barbican Managing Agency Limited</t>
        </is>
      </c>
      <c r="D13" s="11" t="inlineStr">
        <is>
          <t>2019</t>
        </is>
      </c>
      <c r="E13" s="11" t="inlineStr">
        <is>
          <t>Annual Accounts</t>
        </is>
      </c>
      <c r="F13" s="30" t="n">
        <v>106530</v>
      </c>
      <c r="G13" s="30" t="n">
        <v>69131</v>
      </c>
      <c r="H13" s="31" t="n"/>
      <c r="I13" s="32" t="n">
        <v>-48737</v>
      </c>
      <c r="J13" s="32" t="n">
        <v>-25157</v>
      </c>
      <c r="K13" s="31" t="n"/>
      <c r="L13" s="31" t="n"/>
      <c r="M13" s="32" t="n">
        <v>-1844</v>
      </c>
      <c r="N13" s="31">
        <f>IF(AND(F13&lt;&gt;"",G13&lt;&gt;""),F13-G13,"—")</f>
        <v/>
      </c>
      <c r="O13" s="16" t="n">
        <v>105.5</v>
      </c>
      <c r="P13" s="17">
        <f>IF(AND(H13&lt;&gt;0,H13&lt;&gt;""),ROUND(I13/H13*-100,1),"n/a")</f>
        <v/>
      </c>
      <c r="Q13" s="18" t="n">
        <v>235168</v>
      </c>
      <c r="R13" s="25" t="n">
        <v>-17779</v>
      </c>
      <c r="S13" s="19">
        <f>IF(AND(F13&lt;&gt;0,F13&lt;&gt;""),ROUND(M13/F13*100,1),"n/a")</f>
        <v/>
      </c>
      <c r="T13" s="20">
        <f>IF(AND(Q13&lt;&gt;0,Q13&lt;&gt;""),ROUND(F13/Q13,2),"n/a")</f>
        <v/>
      </c>
      <c r="U13" s="21" t="inlineStr">
        <is>
          <t>GBP_000s | Lloyds_Syndicate_Analysis.xlsx — Annual Report FY2019</t>
        </is>
      </c>
      <c r="V13" s="21" t="inlineStr">
        <is>
          <t>Loss £1.8m (improved from £6.6m loss in 2018); Typhoon Faxai &amp; Hagbis impact; net claims fell sharply to £48.7m; CR 105.5% — above 100%</t>
        </is>
      </c>
    </row>
    <row r="14" ht="40" customHeight="1">
      <c r="A14" s="83" t="inlineStr">
        <is>
          <t>386</t>
        </is>
      </c>
      <c r="B14" s="83" t="inlineStr">
        <is>
          <t>QBE Casualty</t>
        </is>
      </c>
      <c r="C14" s="84" t="inlineStr">
        <is>
          <t>QBE Underwriting Limited</t>
        </is>
      </c>
      <c r="D14" s="83" t="n">
        <v>2014</v>
      </c>
      <c r="E14" s="83" t="inlineStr">
        <is>
          <t>Annual Accounts</t>
        </is>
      </c>
      <c r="F14" s="85" t="n">
        <v>332559</v>
      </c>
      <c r="G14" s="85" t="n">
        <v>317072</v>
      </c>
      <c r="H14" s="85" t="n">
        <v>359352</v>
      </c>
      <c r="I14" s="86" t="n">
        <v>-205271</v>
      </c>
      <c r="J14" s="86" t="n">
        <v>-111044</v>
      </c>
      <c r="K14" s="85" t="n">
        <v>18847</v>
      </c>
      <c r="L14" s="85" t="n">
        <v>28678</v>
      </c>
      <c r="M14" s="85" t="n">
        <v>47525</v>
      </c>
      <c r="N14" s="87">
        <f>IF(AND(F14&lt;&gt;"",G14&lt;&gt;""),F14-G14,"—")</f>
        <v/>
      </c>
      <c r="O14" s="88" t="n">
        <v>92</v>
      </c>
      <c r="P14" s="89">
        <f>IF(AND(H14&lt;&gt;0,H14&lt;&gt;""),ROUND(I14/H14*-100,1),"n/a")</f>
        <v/>
      </c>
      <c r="Q14" s="90" t="n">
        <v>1468525</v>
      </c>
      <c r="R14" s="90" t="n">
        <v>46317</v>
      </c>
      <c r="S14" s="91">
        <f>IF(AND(F14&lt;&gt;0,F14&lt;&gt;""),ROUND(M14/F14*100,1),"n/a")</f>
        <v/>
      </c>
      <c r="T14" s="91">
        <f>IF(AND(Q14&lt;&gt;0,Q14&lt;&gt;""),ROUND(F14/Q14,2),"n/a")</f>
        <v/>
      </c>
      <c r="U14" s="92" t="inlineStr">
        <is>
          <t>GBP_000s | QBE_Underwriting_Limited.pdf — Annual Report FY2014</t>
        </is>
      </c>
      <c r="V14" s="92" t="inlineStr">
        <is>
          <t>Profit £47.5m; CR 92.0% (vs 82.3% in 2013); adverse reserve dev £23.2m; NEP £359.4m; GWP fell to £332.6m; FX hedging introduced Q3 2014</t>
        </is>
      </c>
    </row>
    <row r="15" ht="20" customHeight="1">
      <c r="A15" s="33" t="inlineStr">
        <is>
          <t>▼  ADD NEW ROWS BELOW THIS LINE  ·  Copy row 15 (yellow) ·  Fill blue columns  ·  Pink = auto-calculated, do not touch</t>
        </is>
      </c>
      <c r="B15" s="81" t="n"/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2" t="n"/>
    </row>
    <row r="16">
      <c r="A16" s="34" t="inlineStr">
        <is>
          <t>▶</t>
        </is>
      </c>
      <c r="B16" s="34" t="inlineStr">
        <is>
          <t>[Syndicate No]</t>
        </is>
      </c>
      <c r="C16" s="34" t="inlineStr">
        <is>
          <t>[Managing Agent Name]</t>
        </is>
      </c>
      <c r="D16" s="34" t="inlineStr">
        <is>
          <t>[Year]</t>
        </is>
      </c>
      <c r="E16" s="34" t="inlineStr">
        <is>
          <t>[Annual/Closed UY]</t>
        </is>
      </c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>
        <f>IF(AND(F15&lt;&gt;"",G15&lt;&gt;""),F15-G15,"—")</f>
        <v/>
      </c>
      <c r="O16" s="34" t="n"/>
      <c r="P16" s="34">
        <f>IF(AND(H15&lt;&gt;0,H15&lt;&gt;""),ROUND(I15/H15*-100,1),"n/a")</f>
        <v/>
      </c>
      <c r="Q16" s="34" t="n"/>
      <c r="R16" s="34" t="n"/>
      <c r="S16" s="34">
        <f>IF(AND(F15&lt;&gt;0,F15&lt;&gt;""),ROUND(M15/F15*100,1),"n/a")</f>
        <v/>
      </c>
      <c r="T16" s="34">
        <f>IF(AND(Q15&lt;&gt;0,Q15&lt;&gt;""),ROUND(F15/Q15,2),"n/a")</f>
        <v/>
      </c>
      <c r="U16" s="34" t="inlineStr">
        <is>
          <t>[Currency | PDF filename]</t>
        </is>
      </c>
      <c r="V16" s="34" t="inlineStr">
        <is>
          <t>[Notes from report]</t>
        </is>
      </c>
    </row>
    <row r="17" ht="22" customHeight="1"/>
    <row r="18" ht="18" customHeight="1">
      <c r="A18" s="35" t="inlineStr">
        <is>
          <t>COLOUR GUIDE</t>
        </is>
      </c>
    </row>
    <row r="19" ht="18" customHeight="1">
      <c r="A19" s="36" t="inlineStr">
        <is>
          <t>Green rows</t>
        </is>
      </c>
      <c r="B19" s="81" t="n"/>
      <c r="C19" s="81" t="n"/>
      <c r="D19" s="81" t="n"/>
      <c r="E19" s="82" t="n"/>
      <c r="F19" s="37" t="inlineStr">
        <is>
          <t>Original records — Syn 1225 AEGIS (FY2014) &amp; Syn 2488 ACE (FY2014)</t>
        </is>
      </c>
      <c r="G19" s="81" t="n"/>
      <c r="H19" s="81" t="n"/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2" t="n"/>
    </row>
    <row r="20" ht="18" customHeight="1">
      <c r="A20" s="38" t="inlineStr">
        <is>
          <t>Teal rows</t>
        </is>
      </c>
      <c r="B20" s="81" t="n"/>
      <c r="C20" s="81" t="n"/>
      <c r="D20" s="81" t="n"/>
      <c r="E20" s="82" t="n"/>
      <c r="F20" s="37" t="inlineStr">
        <is>
          <t>Original records — Syn 6110 Pembroke (FY2015 Annual + 2013 Closed UY)</t>
        </is>
      </c>
      <c r="G20" s="81" t="n"/>
      <c r="H20" s="81" t="n"/>
      <c r="I20" s="81" t="n"/>
      <c r="J20" s="81" t="n"/>
      <c r="K20" s="81" t="n"/>
      <c r="L20" s="81" t="n"/>
      <c r="M20" s="81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2" t="n"/>
    </row>
    <row r="21" ht="18" customHeight="1">
      <c r="A21" s="39" t="inlineStr">
        <is>
          <t>Salmon row</t>
        </is>
      </c>
      <c r="B21" s="81" t="n"/>
      <c r="C21" s="81" t="n"/>
      <c r="D21" s="81" t="n"/>
      <c r="E21" s="82" t="n"/>
      <c r="F21" s="37" t="inlineStr">
        <is>
          <t>NEW — Syn 623 Beazley FY2023 (values in USD_000s — different currency to others)</t>
        </is>
      </c>
      <c r="G21" s="81" t="n"/>
      <c r="H21" s="81" t="n"/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2" t="n"/>
    </row>
    <row r="22" ht="18" customHeight="1">
      <c r="A22" s="40" t="inlineStr">
        <is>
          <t>Lavender rows</t>
        </is>
      </c>
      <c r="B22" s="81" t="n"/>
      <c r="C22" s="81" t="n"/>
      <c r="D22" s="81" t="n"/>
      <c r="E22" s="82" t="n"/>
      <c r="F22" s="37" t="inlineStr">
        <is>
          <t>NEW — Syn 1274 Antares FY2014 + Syn 1856 Barbican FY2019 (GBP_000s)</t>
        </is>
      </c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1" t="n"/>
      <c r="V22" s="82" t="n"/>
    </row>
    <row r="23" ht="18" customHeight="1">
      <c r="A23" s="12" t="inlineStr">
        <is>
          <t>Blue cells</t>
        </is>
      </c>
      <c r="B23" s="81" t="n"/>
      <c r="C23" s="81" t="n"/>
      <c r="D23" s="81" t="n"/>
      <c r="E23" s="82" t="n"/>
      <c r="F23" s="37" t="inlineStr">
        <is>
          <t>IDENTITY — Syndicate number, name, managing agent, year, report type</t>
        </is>
      </c>
      <c r="G23" s="81" t="n"/>
      <c r="H23" s="81" t="n"/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2" t="n"/>
    </row>
    <row r="24" ht="18" customHeight="1">
      <c r="A24" s="41" t="inlineStr">
        <is>
          <t>Orange cells</t>
        </is>
      </c>
      <c r="B24" s="81" t="n"/>
      <c r="C24" s="81" t="n"/>
      <c r="D24" s="81" t="n"/>
      <c r="E24" s="82" t="n"/>
      <c r="F24" s="37" t="inlineStr">
        <is>
          <t>BALANCE SHEET — Total Assets &amp; Members' Funds</t>
        </is>
      </c>
      <c r="G24" s="81" t="n"/>
      <c r="H24" s="81" t="n"/>
      <c r="I24" s="81" t="n"/>
      <c r="J24" s="81" t="n"/>
      <c r="K24" s="81" t="n"/>
      <c r="L24" s="81" t="n"/>
      <c r="M24" s="81" t="n"/>
      <c r="N24" s="81" t="n"/>
      <c r="O24" s="81" t="n"/>
      <c r="P24" s="81" t="n"/>
      <c r="Q24" s="81" t="n"/>
      <c r="R24" s="81" t="n"/>
      <c r="S24" s="81" t="n"/>
      <c r="T24" s="81" t="n"/>
      <c r="U24" s="81" t="n"/>
      <c r="V24" s="82" t="n"/>
    </row>
    <row r="25" ht="18" customHeight="1">
      <c r="A25" s="42" t="inlineStr">
        <is>
          <t>Pink cells</t>
        </is>
      </c>
      <c r="B25" s="81" t="n"/>
      <c r="C25" s="81" t="n"/>
      <c r="D25" s="81" t="n"/>
      <c r="E25" s="82" t="n"/>
      <c r="F25" s="37" t="inlineStr">
        <is>
          <t>AUTO-CALCULATED formulas — do NOT overwrite</t>
        </is>
      </c>
      <c r="G25" s="81" t="n"/>
      <c r="H25" s="81" t="n"/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2" t="n"/>
    </row>
    <row r="26">
      <c r="A26" s="43" t="inlineStr">
        <is>
          <t>Yellow row</t>
        </is>
      </c>
      <c r="B26" s="81" t="n"/>
      <c r="C26" s="81" t="n"/>
      <c r="D26" s="81" t="n"/>
      <c r="E26" s="82" t="n"/>
      <c r="F26" s="37" t="inlineStr">
        <is>
          <t>TEMPLATE ROW 15 — copy downward for every new PDF</t>
        </is>
      </c>
      <c r="G26" s="81" t="n"/>
      <c r="H26" s="81" t="n"/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81" t="n"/>
      <c r="V26" s="82" t="n"/>
    </row>
  </sheetData>
  <mergeCells count="28">
    <mergeCell ref="A2:V2"/>
    <mergeCell ref="F5:N5"/>
    <mergeCell ref="A24:E24"/>
    <mergeCell ref="A14:V14"/>
    <mergeCell ref="A17:V17"/>
    <mergeCell ref="F19:V19"/>
    <mergeCell ref="F25:V25"/>
    <mergeCell ref="A4:V4"/>
    <mergeCell ref="O5:P5"/>
    <mergeCell ref="Q5:R5"/>
    <mergeCell ref="A25:E25"/>
    <mergeCell ref="F21:V21"/>
    <mergeCell ref="F24:V24"/>
    <mergeCell ref="F20:V20"/>
    <mergeCell ref="A18:E18"/>
    <mergeCell ref="F18:V18"/>
    <mergeCell ref="A21:E21"/>
    <mergeCell ref="A1:V1"/>
    <mergeCell ref="A5:E5"/>
    <mergeCell ref="A23:E23"/>
    <mergeCell ref="F23:V23"/>
    <mergeCell ref="A22:E22"/>
    <mergeCell ref="F22:V22"/>
    <mergeCell ref="A20:E20"/>
    <mergeCell ref="S5:T5"/>
    <mergeCell ref="U5:V5"/>
    <mergeCell ref="A19:E19"/>
    <mergeCell ref="A3:V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3" customWidth="1" min="4" max="4"/>
    <col width="22" customWidth="1" min="5" max="5"/>
    <col width="13" customWidth="1" min="6" max="6"/>
    <col width="13" customWidth="1" min="7" max="7"/>
    <col width="13" customWidth="1" min="8" max="8"/>
    <col width="15" customWidth="1" min="9" max="9"/>
    <col width="14" customWidth="1" min="10" max="10"/>
    <col width="16" customWidth="1" min="11" max="11"/>
    <col width="14" customWidth="1" min="12" max="12"/>
    <col width="16" customWidth="1" min="13" max="13"/>
    <col width="18" customWidth="1" min="14" max="14"/>
    <col width="16" customWidth="1" min="15" max="15"/>
    <col width="17" customWidth="1" min="16" max="16"/>
    <col width="18" customWidth="1" min="17" max="17"/>
    <col width="44" customWidth="1" min="18" max="18"/>
    <col width="38" customWidth="1" min="19" max="19"/>
    <col width="36" customWidth="1" min="20" max="20"/>
    <col width="54" customWidth="1" min="21" max="21"/>
  </cols>
  <sheetData>
    <row r="1" ht="24" customHeight="1">
      <c r="A1" s="35" t="inlineStr">
        <is>
          <t>SQL-READY TABLE  ·  8 records  ·  Save as CSV → import into SQLite / BigQuery / Supabase  ·  NOTE: Beazley values are in USD_000s; all others GBP_000s</t>
        </is>
      </c>
    </row>
    <row r="2" ht="22" customHeight="1">
      <c r="A2" s="44" t="inlineStr">
        <is>
          <t>syndicate_number</t>
        </is>
      </c>
      <c r="B2" s="44" t="inlineStr">
        <is>
          <t>syndicate_name</t>
        </is>
      </c>
      <c r="C2" s="44" t="inlineStr">
        <is>
          <t>managing_agent</t>
        </is>
      </c>
      <c r="D2" s="44" t="inlineStr">
        <is>
          <t>year_of_account</t>
        </is>
      </c>
      <c r="E2" s="44" t="inlineStr">
        <is>
          <t>report_type</t>
        </is>
      </c>
      <c r="F2" s="44" t="inlineStr">
        <is>
          <t>gwp_000s</t>
        </is>
      </c>
      <c r="G2" s="44" t="inlineStr">
        <is>
          <t>nwp_000s</t>
        </is>
      </c>
      <c r="H2" s="44" t="inlineStr">
        <is>
          <t>nep_000s</t>
        </is>
      </c>
      <c r="I2" s="44" t="inlineStr">
        <is>
          <t>net_claims_000s</t>
        </is>
      </c>
      <c r="J2" s="44" t="inlineStr">
        <is>
          <t>net_opex_000s</t>
        </is>
      </c>
      <c r="K2" s="44" t="inlineStr">
        <is>
          <t>inv_income_000s</t>
        </is>
      </c>
      <c r="L2" s="44" t="inlineStr">
        <is>
          <t>uw_profit_000s</t>
        </is>
      </c>
      <c r="M2" s="44" t="inlineStr">
        <is>
          <t>pbt_000s</t>
        </is>
      </c>
      <c r="N2" s="44" t="inlineStr">
        <is>
          <t>combined_ratio_pct</t>
        </is>
      </c>
      <c r="O2" s="44" t="inlineStr">
        <is>
          <t>total_assets_000s</t>
        </is>
      </c>
      <c r="P2" s="44" t="inlineStr">
        <is>
          <t>members_funds_000s</t>
        </is>
      </c>
      <c r="Q2" s="44" t="inlineStr">
        <is>
          <t>currency_unit</t>
        </is>
      </c>
      <c r="R2" s="44" t="inlineStr">
        <is>
          <t>lines_of_business</t>
        </is>
      </c>
      <c r="S2" s="44" t="inlineStr">
        <is>
          <t>top_risk</t>
        </is>
      </c>
      <c r="T2" s="44" t="inlineStr">
        <is>
          <t>source_doc</t>
        </is>
      </c>
      <c r="U2" s="44" t="inlineStr">
        <is>
          <t>notes</t>
        </is>
      </c>
    </row>
    <row r="3" ht="20" customHeight="1">
      <c r="A3" s="45" t="inlineStr">
        <is>
          <t>1225</t>
        </is>
      </c>
      <c r="B3" s="46" t="inlineStr">
        <is>
          <t>AEGIS London</t>
        </is>
      </c>
      <c r="C3" s="46" t="inlineStr">
        <is>
          <t>AEGIS Managing Agency Ltd</t>
        </is>
      </c>
      <c r="D3" s="45" t="inlineStr">
        <is>
          <t>2014</t>
        </is>
      </c>
      <c r="E3" s="45" t="inlineStr">
        <is>
          <t>Annual Accounts</t>
        </is>
      </c>
      <c r="F3" s="47" t="n">
        <v>371000</v>
      </c>
      <c r="G3" s="47" t="n">
        <v>307000</v>
      </c>
      <c r="H3" s="45" t="inlineStr">
        <is>
          <t>NULL</t>
        </is>
      </c>
      <c r="I3" s="48" t="n">
        <v>-138400</v>
      </c>
      <c r="J3" s="48" t="n">
        <v>-108000</v>
      </c>
      <c r="K3" s="47" t="n">
        <v>12700</v>
      </c>
      <c r="L3" s="47" t="n">
        <v>47800</v>
      </c>
      <c r="M3" s="47" t="n">
        <v>60500</v>
      </c>
      <c r="N3" s="47" t="n">
        <v>83.5</v>
      </c>
      <c r="O3" s="47" t="n">
        <v>808600</v>
      </c>
      <c r="P3" s="47" t="n">
        <v>105600</v>
      </c>
      <c r="Q3" s="45" t="inlineStr">
        <is>
          <t>GBP_000s_conv</t>
        </is>
      </c>
      <c r="R3" s="46" t="inlineStr">
        <is>
          <t>Casualty (32%); Property (68%)</t>
        </is>
      </c>
      <c r="S3" s="46" t="inlineStr">
        <is>
          <t>Underwriting Risk</t>
        </is>
      </c>
      <c r="T3" s="46" t="inlineStr">
        <is>
          <t>Aegis_London.pdf FY2014</t>
        </is>
      </c>
      <c r="U3" s="46" t="inlineStr">
        <is>
          <t>9th successive profit; CR 83.5%</t>
        </is>
      </c>
    </row>
    <row r="4" ht="20" customHeight="1">
      <c r="A4" s="45" t="inlineStr">
        <is>
          <t>2488</t>
        </is>
      </c>
      <c r="B4" s="46" t="inlineStr">
        <is>
          <t>ACE Underwriting Agencies</t>
        </is>
      </c>
      <c r="C4" s="46" t="inlineStr">
        <is>
          <t>ACE Underwriting Agencies Ltd</t>
        </is>
      </c>
      <c r="D4" s="45" t="inlineStr">
        <is>
          <t>2014</t>
        </is>
      </c>
      <c r="E4" s="45" t="inlineStr">
        <is>
          <t>Annual Accounts</t>
        </is>
      </c>
      <c r="F4" s="47" t="n">
        <v>375327</v>
      </c>
      <c r="G4" s="47" t="n">
        <v>294950</v>
      </c>
      <c r="H4" s="47" t="n">
        <v>295720</v>
      </c>
      <c r="I4" s="48" t="n">
        <v>-66101</v>
      </c>
      <c r="J4" s="48" t="n">
        <v>-116015</v>
      </c>
      <c r="K4" s="47" t="n">
        <v>41041</v>
      </c>
      <c r="L4" s="47" t="n">
        <v>113600</v>
      </c>
      <c r="M4" s="47" t="n">
        <v>154645</v>
      </c>
      <c r="N4" s="47" t="n">
        <v>61.6</v>
      </c>
      <c r="O4" s="47" t="n">
        <v>1809921</v>
      </c>
      <c r="P4" s="47" t="n">
        <v>463441</v>
      </c>
      <c r="Q4" s="45" t="inlineStr">
        <is>
          <t>GBP_000s</t>
        </is>
      </c>
      <c r="R4" s="46" t="inlineStr">
        <is>
          <t>Property (37%); Financial Lines (22%); Marine (15%); Aviation (11%); Political Risk (5%)</t>
        </is>
      </c>
      <c r="S4" s="46" t="inlineStr">
        <is>
          <t>Insurance/Underwriting Risk; Financial Risk; Operational Risk</t>
        </is>
      </c>
      <c r="T4" s="46" t="inlineStr">
        <is>
          <t>ACE_Underwriting_Agencies_Limited.pdf FY2014</t>
        </is>
      </c>
      <c r="U4" s="46" t="inlineStr">
        <is>
          <t>Profit £154.6m; prior year releases £103.7m; CR 61.6%</t>
        </is>
      </c>
    </row>
    <row r="5" ht="20" customHeight="1">
      <c r="A5" s="49" t="inlineStr">
        <is>
          <t>6110</t>
        </is>
      </c>
      <c r="B5" s="50" t="inlineStr">
        <is>
          <t>Pembroke</t>
        </is>
      </c>
      <c r="C5" s="50" t="inlineStr">
        <is>
          <t>Pembroke Managing Agency Ltd</t>
        </is>
      </c>
      <c r="D5" s="49" t="inlineStr">
        <is>
          <t>2015</t>
        </is>
      </c>
      <c r="E5" s="49" t="inlineStr">
        <is>
          <t>Annual Accounts</t>
        </is>
      </c>
      <c r="F5" s="51" t="n">
        <v>1140</v>
      </c>
      <c r="G5" s="51" t="n">
        <v>1009</v>
      </c>
      <c r="H5" s="51" t="n">
        <v>2874</v>
      </c>
      <c r="I5" s="52" t="n">
        <v>-618</v>
      </c>
      <c r="J5" s="52" t="n">
        <v>-1328</v>
      </c>
      <c r="K5" s="51" t="n">
        <v>227</v>
      </c>
      <c r="L5" s="49" t="inlineStr">
        <is>
          <t>NULL</t>
        </is>
      </c>
      <c r="M5" s="51" t="n">
        <v>1242</v>
      </c>
      <c r="N5" s="51" t="n">
        <v>67.7</v>
      </c>
      <c r="O5" s="51" t="n">
        <v>35606</v>
      </c>
      <c r="P5" s="52" t="n">
        <v>-134</v>
      </c>
      <c r="Q5" s="49" t="inlineStr">
        <is>
          <t>GBP_000s</t>
        </is>
      </c>
      <c r="R5" s="50" t="inlineStr">
        <is>
          <t>Property Reinsurance; Cargo; Marine Re; War &amp; Terrorism; Political Risks</t>
        </is>
      </c>
      <c r="S5" s="50" t="inlineStr">
        <is>
          <t>Insurance Risk Underwriting; Reserving; Credit Risk</t>
        </is>
      </c>
      <c r="T5" s="50" t="inlineStr">
        <is>
          <t>pembroke.pdf Annual Accounts FY2015</t>
        </is>
      </c>
      <c r="U5" s="50" t="inlineStr">
        <is>
          <t>Syndicate ceased underwriting; CR 67.7%</t>
        </is>
      </c>
    </row>
    <row r="6" ht="20" customHeight="1">
      <c r="A6" s="49" t="inlineStr">
        <is>
          <t>6110</t>
        </is>
      </c>
      <c r="B6" s="50" t="inlineStr">
        <is>
          <t>Pembroke</t>
        </is>
      </c>
      <c r="C6" s="50" t="inlineStr">
        <is>
          <t>Pembroke Managing Agency Ltd</t>
        </is>
      </c>
      <c r="D6" s="49" t="inlineStr">
        <is>
          <t>2013</t>
        </is>
      </c>
      <c r="E6" s="49" t="inlineStr">
        <is>
          <t>Closed UY (36 months)</t>
        </is>
      </c>
      <c r="F6" s="51" t="n">
        <v>40988</v>
      </c>
      <c r="G6" s="51" t="n">
        <v>32650</v>
      </c>
      <c r="H6" s="51" t="n">
        <v>32650</v>
      </c>
      <c r="I6" s="52" t="n">
        <v>-25221</v>
      </c>
      <c r="J6" s="52" t="n">
        <v>-11628</v>
      </c>
      <c r="K6" s="51" t="n">
        <v>593</v>
      </c>
      <c r="L6" s="49" t="inlineStr">
        <is>
          <t>NULL</t>
        </is>
      </c>
      <c r="M6" s="51" t="n">
        <v>922</v>
      </c>
      <c r="N6" s="49" t="inlineStr">
        <is>
          <t>NULL</t>
        </is>
      </c>
      <c r="O6" s="51" t="n">
        <v>35264</v>
      </c>
      <c r="P6" s="51" t="n">
        <v>472</v>
      </c>
      <c r="Q6" s="49" t="inlineStr">
        <is>
          <t>GBP_000s</t>
        </is>
      </c>
      <c r="R6" s="50" t="inlineStr">
        <is>
          <t>Property Reinsurance; Cargo; Marine Re; War &amp; Terrorism; Political Risks</t>
        </is>
      </c>
      <c r="S6" s="50" t="inlineStr">
        <is>
          <t>Insurance Risk Reserving; RTC premium determination; Credit Risk</t>
        </is>
      </c>
      <c r="T6" s="50" t="inlineStr">
        <is>
          <t>pembroke.pdf 2013 Closed UY</t>
        </is>
      </c>
      <c r="U6" s="50" t="inlineStr">
        <is>
          <t>36-month closed year; profit 2.05% capacity</t>
        </is>
      </c>
    </row>
    <row r="7" ht="20" customHeight="1">
      <c r="A7" s="53" t="inlineStr">
        <is>
          <t>623</t>
        </is>
      </c>
      <c r="B7" s="54" t="inlineStr">
        <is>
          <t>Beazley</t>
        </is>
      </c>
      <c r="C7" s="54" t="inlineStr">
        <is>
          <t>Beazley Furlonge Limited</t>
        </is>
      </c>
      <c r="D7" s="53" t="inlineStr">
        <is>
          <t>2023</t>
        </is>
      </c>
      <c r="E7" s="53" t="inlineStr">
        <is>
          <t>Annual Accounts</t>
        </is>
      </c>
      <c r="F7" s="55" t="n">
        <v>974700</v>
      </c>
      <c r="G7" s="55" t="n">
        <v>816700</v>
      </c>
      <c r="H7" s="53" t="inlineStr">
        <is>
          <t>NULL</t>
        </is>
      </c>
      <c r="I7" s="56" t="n">
        <v>-318200</v>
      </c>
      <c r="J7" s="56" t="n">
        <v>-296800</v>
      </c>
      <c r="K7" s="55" t="n">
        <v>59900</v>
      </c>
      <c r="L7" s="53" t="inlineStr">
        <is>
          <t>NULL</t>
        </is>
      </c>
      <c r="M7" s="55" t="n">
        <v>180800</v>
      </c>
      <c r="N7" s="55" t="n">
        <v>84</v>
      </c>
      <c r="O7" s="55" t="n">
        <v>2299300</v>
      </c>
      <c r="P7" s="55" t="n">
        <v>201500</v>
      </c>
      <c r="Q7" s="53" t="inlineStr">
        <is>
          <t>USD_000s_conv</t>
        </is>
      </c>
      <c r="R7" s="54" t="inlineStr">
        <is>
          <t>Cyber Risks; Specialty Risks; Property Risks; MAP Risks; Digital; Reinsurance Accepted</t>
        </is>
      </c>
      <c r="S7" s="54" t="inlineStr">
        <is>
          <t>Insurance Risk; Market Risk; Cyber/Operational &amp; Systemic Cyber Risk</t>
        </is>
      </c>
      <c r="T7" s="54" t="inlineStr">
        <is>
          <t>Beazley_Syndicate623_Analysis.xlsx FY2023</t>
        </is>
      </c>
      <c r="U7" s="54" t="inlineStr">
        <is>
          <t>Profit $180.8m; CR 84%; prior year releases $58.7m; investment return $59.9m (5.3%)</t>
        </is>
      </c>
    </row>
    <row r="8" ht="20" customHeight="1">
      <c r="A8" s="57" t="inlineStr">
        <is>
          <t>1274</t>
        </is>
      </c>
      <c r="B8" s="58" t="inlineStr">
        <is>
          <t>Antares</t>
        </is>
      </c>
      <c r="C8" s="58" t="inlineStr">
        <is>
          <t>Antares Managing Agency Limited</t>
        </is>
      </c>
      <c r="D8" s="57" t="inlineStr">
        <is>
          <t>2014</t>
        </is>
      </c>
      <c r="E8" s="57" t="inlineStr">
        <is>
          <t>Annual Accounts</t>
        </is>
      </c>
      <c r="F8" s="59" t="n">
        <v>250576</v>
      </c>
      <c r="G8" s="59" t="n">
        <v>223317</v>
      </c>
      <c r="H8" s="57" t="inlineStr">
        <is>
          <t>NULL</t>
        </is>
      </c>
      <c r="I8" s="60" t="n">
        <v>-117603</v>
      </c>
      <c r="J8" s="60" t="n">
        <v>-73713</v>
      </c>
      <c r="K8" s="57" t="inlineStr">
        <is>
          <t>NULL</t>
        </is>
      </c>
      <c r="L8" s="57" t="inlineStr">
        <is>
          <t>NULL</t>
        </is>
      </c>
      <c r="M8" s="59" t="n">
        <v>18386</v>
      </c>
      <c r="N8" s="59" t="n">
        <v>91.59999999999999</v>
      </c>
      <c r="O8" s="59" t="n">
        <v>482434</v>
      </c>
      <c r="P8" s="59" t="n">
        <v>33043</v>
      </c>
      <c r="Q8" s="57" t="inlineStr">
        <is>
          <t>GBP_000s</t>
        </is>
      </c>
      <c r="R8" s="58" t="inlineStr">
        <is>
          <t>MAT (43.3%); Third Party Liability; Reinsurance Property XL; Fire &amp; Property; Credit &amp; Suretyship; A&amp;H</t>
        </is>
      </c>
      <c r="S8" s="58" t="inlineStr">
        <is>
          <t>Underwriting Risk; Reserving Risk; Market Risk (Currency &amp; Interest Rate)</t>
        </is>
      </c>
      <c r="T8" s="58" t="inlineStr">
        <is>
          <t>Lloyds_Syndicate_Analysis.xlsx FY2014</t>
        </is>
      </c>
      <c r="U8" s="58" t="inlineStr">
        <is>
          <t>3rd consecutive profit £18.4m; NWP +10.2%; CR 91.6%</t>
        </is>
      </c>
    </row>
    <row r="9" ht="20" customHeight="1">
      <c r="A9" s="57" t="inlineStr">
        <is>
          <t>1856</t>
        </is>
      </c>
      <c r="B9" s="58" t="inlineStr">
        <is>
          <t>Arcus/Barbican</t>
        </is>
      </c>
      <c r="C9" s="58" t="inlineStr">
        <is>
          <t>Barbican Managing Agency Limited</t>
        </is>
      </c>
      <c r="D9" s="57" t="inlineStr">
        <is>
          <t>2019</t>
        </is>
      </c>
      <c r="E9" s="57" t="inlineStr">
        <is>
          <t>Annual Accounts</t>
        </is>
      </c>
      <c r="F9" s="59" t="n">
        <v>106530</v>
      </c>
      <c r="G9" s="59" t="n">
        <v>69131</v>
      </c>
      <c r="H9" s="57" t="inlineStr">
        <is>
          <t>NULL</t>
        </is>
      </c>
      <c r="I9" s="60" t="n">
        <v>-48737</v>
      </c>
      <c r="J9" s="60" t="n">
        <v>-25157</v>
      </c>
      <c r="K9" s="57" t="inlineStr">
        <is>
          <t>NULL</t>
        </is>
      </c>
      <c r="L9" s="57" t="inlineStr">
        <is>
          <t>NULL</t>
        </is>
      </c>
      <c r="M9" s="60" t="n">
        <v>-1844</v>
      </c>
      <c r="N9" s="59" t="n">
        <v>105.5</v>
      </c>
      <c r="O9" s="59" t="n">
        <v>235168</v>
      </c>
      <c r="P9" s="60" t="n">
        <v>-17779</v>
      </c>
      <c r="Q9" s="57" t="inlineStr">
        <is>
          <t>GBP_000s</t>
        </is>
      </c>
      <c r="R9" s="58" t="inlineStr">
        <is>
          <t>Property Reinsurance; Energy; Cyber; Property Insurance; Space; Whole Account QS (run-off)</t>
        </is>
      </c>
      <c r="S9" s="58" t="inlineStr">
        <is>
          <t>Insurance Risk; Credit Risk (reinsurer default); Market Risk (Currency &amp; Interest Rate)</t>
        </is>
      </c>
      <c r="T9" s="58" t="inlineStr">
        <is>
          <t>Lloyds_Syndicate_Analysis.xlsx FY2019</t>
        </is>
      </c>
      <c r="U9" s="58" t="inlineStr">
        <is>
          <t>Loss £1.8m; improved from £6.6m loss in 2018; CR 105.5%; Typhoon Faxai &amp; Hagbis impact</t>
        </is>
      </c>
    </row>
    <row r="10">
      <c r="A10" s="93" t="inlineStr">
        <is>
          <t>386</t>
        </is>
      </c>
      <c r="B10" s="93" t="inlineStr">
        <is>
          <t>QBE Casualty</t>
        </is>
      </c>
      <c r="C10" s="93" t="inlineStr">
        <is>
          <t>QBE Underwriting Limited</t>
        </is>
      </c>
      <c r="D10" s="93" t="inlineStr">
        <is>
          <t>2014</t>
        </is>
      </c>
      <c r="E10" s="93" t="inlineStr">
        <is>
          <t>Annual Accounts</t>
        </is>
      </c>
      <c r="F10" s="93" t="n">
        <v>332559</v>
      </c>
      <c r="G10" s="93" t="n">
        <v>317072</v>
      </c>
      <c r="H10" s="93" t="n">
        <v>359352</v>
      </c>
      <c r="I10" s="93" t="n">
        <v>-205271</v>
      </c>
      <c r="J10" s="93" t="n">
        <v>-111044</v>
      </c>
      <c r="K10" s="93" t="n">
        <v>18847</v>
      </c>
      <c r="L10" s="93" t="n">
        <v>28678</v>
      </c>
      <c r="M10" s="93" t="n">
        <v>47525</v>
      </c>
      <c r="N10" s="93" t="n">
        <v>92</v>
      </c>
      <c r="O10" s="93" t="n">
        <v>1468525</v>
      </c>
      <c r="P10" s="93" t="n">
        <v>46317</v>
      </c>
      <c r="Q10" s="93" t="inlineStr">
        <is>
          <t>GBP_000s</t>
        </is>
      </c>
      <c r="R10" s="93" t="inlineStr">
        <is>
          <t>Employers Liability; Professional &amp; Financial Lines; General Liability (Products &amp; TPL); Casualty International; Reinsurance Acceptances</t>
        </is>
      </c>
      <c r="S10" s="93" t="inlineStr">
        <is>
          <t>Insurance/Reserving Risk (adverse dev £23.2m); Market/FX Risk; Underwriting/Pricing Risk</t>
        </is>
      </c>
      <c r="T10" s="93" t="inlineStr">
        <is>
          <t>QBE_Underwriting_Limited.pdf FY2014</t>
        </is>
      </c>
      <c r="U10" s="93" t="inlineStr">
        <is>
          <t>Profit £47.5m; CR 92.0%; GWP £332.6m; NEP £359.4m; adverse back-year reserve dev £23.2m; FX hedging introduced Q3 2014</t>
        </is>
      </c>
    </row>
    <row r="11" ht="26" customHeight="1"/>
    <row r="12">
      <c r="A12" s="61" t="inlineStr">
        <is>
          <t>⚠ CURRENCY NOTE: Syndicate 623 (Beazley) values are in USD_000s. All other syndicates are in GBP_000s. Do NOT compare raw values across currencies. Convert before running cross-syndicate queries.</t>
        </is>
      </c>
      <c r="B12" s="81" t="n"/>
      <c r="C12" s="81" t="n"/>
      <c r="D12" s="81" t="n"/>
      <c r="E12" s="81" t="n"/>
      <c r="F12" s="81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2" t="n"/>
    </row>
  </sheetData>
  <mergeCells count="2">
    <mergeCell ref="A1:U1"/>
    <mergeCell ref="A11:U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8" customHeight="1">
      <c r="A1" s="62" t="inlineStr">
        <is>
          <t>COMPARISON DASHBOARD  ·  All 8 Records  ·  7 Syndicates</t>
        </is>
      </c>
    </row>
    <row r="2" ht="20" customHeight="1">
      <c r="A2" s="63" t="inlineStr">
        <is>
          <t>⚠ CURRENCY NOTE: S623 Beazley values are in USD_000s — all others are GBP_000s. Comparison across currencies shown for structure only.</t>
        </is>
      </c>
    </row>
    <row r="3" ht="36" customHeight="1">
      <c r="A3" s="5" t="inlineStr">
        <is>
          <t>Metric</t>
        </is>
      </c>
      <c r="B3" s="64" t="inlineStr">
        <is>
          <t>S1225 AEGIS
(GBP) 2014</t>
        </is>
      </c>
      <c r="C3" s="64" t="inlineStr">
        <is>
          <t>S2488 ACE
(GBP) 2014</t>
        </is>
      </c>
      <c r="D3" s="65" t="inlineStr">
        <is>
          <t>S6110 Pembroke
(GBP) 2015</t>
        </is>
      </c>
      <c r="E3" s="66" t="inlineStr">
        <is>
          <t>S623 Beazley
(USD) 2023</t>
        </is>
      </c>
      <c r="F3" s="67" t="inlineStr">
        <is>
          <t>S1274 Antares
(GBP) 2014</t>
        </is>
      </c>
      <c r="G3" s="67" t="inlineStr">
        <is>
          <t>S1856 Barbican
(GBP) 2019</t>
        </is>
      </c>
      <c r="H3" s="94" t="inlineStr">
        <is>
          <t>S386 QBE
(GBP) 2014</t>
        </is>
      </c>
      <c r="I3" s="5" t="inlineStr">
        <is>
          <t>Notes</t>
        </is>
      </c>
    </row>
    <row r="4" ht="20" customHeight="1">
      <c r="A4" s="68" t="inlineStr">
        <is>
          <t>GWP (000s)</t>
        </is>
      </c>
      <c r="B4" s="69" t="inlineStr">
        <is>
          <t>371,000</t>
        </is>
      </c>
      <c r="C4" s="69" t="inlineStr">
        <is>
          <t>375,327</t>
        </is>
      </c>
      <c r="D4" s="69" t="inlineStr">
        <is>
          <t>1,140</t>
        </is>
      </c>
      <c r="E4" s="69" t="inlineStr">
        <is>
          <t>974,700</t>
        </is>
      </c>
      <c r="F4" s="69" t="inlineStr">
        <is>
          <t>250,576</t>
        </is>
      </c>
      <c r="G4" s="69" t="inlineStr">
        <is>
          <t>106,530</t>
        </is>
      </c>
      <c r="H4" s="95" t="inlineStr">
        <is>
          <t>332,559</t>
        </is>
      </c>
      <c r="I4" s="70" t="inlineStr">
        <is>
          <t>S623=USD; rest=GBP</t>
        </is>
      </c>
    </row>
    <row r="5" ht="20" customHeight="1">
      <c r="A5" s="68" t="inlineStr">
        <is>
          <t>Net Written Prem</t>
        </is>
      </c>
      <c r="B5" s="71" t="inlineStr">
        <is>
          <t>307,000</t>
        </is>
      </c>
      <c r="C5" s="71" t="inlineStr">
        <is>
          <t>294,950</t>
        </is>
      </c>
      <c r="D5" s="71" t="inlineStr">
        <is>
          <t>1,009</t>
        </is>
      </c>
      <c r="E5" s="71" t="inlineStr">
        <is>
          <t>816,700</t>
        </is>
      </c>
      <c r="F5" s="71" t="inlineStr">
        <is>
          <t>223,317</t>
        </is>
      </c>
      <c r="G5" s="71" t="inlineStr">
        <is>
          <t>69,131</t>
        </is>
      </c>
      <c r="H5" s="96" t="inlineStr">
        <is>
          <t>317,072</t>
        </is>
      </c>
      <c r="I5" s="70" t="inlineStr"/>
    </row>
    <row r="6" ht="20" customHeight="1">
      <c r="A6" s="68" t="inlineStr">
        <is>
          <t>Net Claims</t>
        </is>
      </c>
      <c r="B6" s="72" t="inlineStr">
        <is>
          <t>(138,400)</t>
        </is>
      </c>
      <c r="C6" s="72" t="inlineStr">
        <is>
          <t>(66,101)</t>
        </is>
      </c>
      <c r="D6" s="72" t="inlineStr">
        <is>
          <t>(618)</t>
        </is>
      </c>
      <c r="E6" s="72" t="inlineStr">
        <is>
          <t>(318,200)</t>
        </is>
      </c>
      <c r="F6" s="72" t="inlineStr">
        <is>
          <t>(117,603)</t>
        </is>
      </c>
      <c r="G6" s="72" t="inlineStr">
        <is>
          <t>(48,737)</t>
        </is>
      </c>
      <c r="H6" s="97" t="inlineStr">
        <is>
          <t>(205,271)</t>
        </is>
      </c>
      <c r="I6" s="70" t="inlineStr">
        <is>
          <t>Parentheses = outflow</t>
        </is>
      </c>
    </row>
    <row r="7" ht="20" customHeight="1">
      <c r="A7" s="68" t="inlineStr">
        <is>
          <t>Net OpEx</t>
        </is>
      </c>
      <c r="B7" s="73" t="inlineStr">
        <is>
          <t>(108,000)</t>
        </is>
      </c>
      <c r="C7" s="73" t="inlineStr">
        <is>
          <t>(116,015)</t>
        </is>
      </c>
      <c r="D7" s="73" t="inlineStr">
        <is>
          <t>(1,328)</t>
        </is>
      </c>
      <c r="E7" s="73" t="inlineStr">
        <is>
          <t>(296,800)</t>
        </is>
      </c>
      <c r="F7" s="73" t="inlineStr">
        <is>
          <t>(73,713)</t>
        </is>
      </c>
      <c r="G7" s="73" t="inlineStr">
        <is>
          <t>(25,157)</t>
        </is>
      </c>
      <c r="H7" s="98" t="inlineStr">
        <is>
          <t>(111,044)</t>
        </is>
      </c>
      <c r="I7" s="70" t="inlineStr"/>
    </row>
    <row r="8" ht="20" customHeight="1">
      <c r="A8" s="68" t="inlineStr">
        <is>
          <t>Investment Income</t>
        </is>
      </c>
      <c r="B8" s="69" t="inlineStr">
        <is>
          <t>12,700</t>
        </is>
      </c>
      <c r="C8" s="69" t="inlineStr">
        <is>
          <t>41,041</t>
        </is>
      </c>
      <c r="D8" s="69" t="inlineStr">
        <is>
          <t>227</t>
        </is>
      </c>
      <c r="E8" s="69" t="inlineStr">
        <is>
          <t>59,900</t>
        </is>
      </c>
      <c r="F8" s="69" t="inlineStr">
        <is>
          <t>NULL</t>
        </is>
      </c>
      <c r="G8" s="69" t="inlineStr">
        <is>
          <t>NULL</t>
        </is>
      </c>
      <c r="H8" s="95" t="inlineStr">
        <is>
          <t>18,847</t>
        </is>
      </c>
      <c r="I8" s="70" t="inlineStr"/>
    </row>
    <row r="9" ht="20" customHeight="1">
      <c r="A9" s="68" t="inlineStr">
        <is>
          <t>Profit / (Loss)</t>
        </is>
      </c>
      <c r="B9" s="11" t="inlineStr">
        <is>
          <t>60,500</t>
        </is>
      </c>
      <c r="C9" s="11" t="inlineStr">
        <is>
          <t>154,645</t>
        </is>
      </c>
      <c r="D9" s="11" t="inlineStr">
        <is>
          <t>1,242</t>
        </is>
      </c>
      <c r="E9" s="11" t="inlineStr">
        <is>
          <t>180,800</t>
        </is>
      </c>
      <c r="F9" s="11" t="inlineStr">
        <is>
          <t>18,386</t>
        </is>
      </c>
      <c r="G9" s="74" t="inlineStr">
        <is>
          <t>(1,844)</t>
        </is>
      </c>
      <c r="H9" s="99" t="inlineStr">
        <is>
          <t>47,525</t>
        </is>
      </c>
      <c r="I9" s="70" t="inlineStr">
        <is>
          <t>S1856 is a loss year</t>
        </is>
      </c>
    </row>
    <row r="10" ht="20" customHeight="1">
      <c r="A10" s="68" t="inlineStr">
        <is>
          <t>Combined Ratio</t>
        </is>
      </c>
      <c r="B10" s="11" t="inlineStr">
        <is>
          <t>83.5%</t>
        </is>
      </c>
      <c r="C10" s="11" t="inlineStr">
        <is>
          <t>61.6%</t>
        </is>
      </c>
      <c r="D10" s="11" t="inlineStr">
        <is>
          <t>67.7%</t>
        </is>
      </c>
      <c r="E10" s="11" t="inlineStr">
        <is>
          <t>84.0%</t>
        </is>
      </c>
      <c r="F10" s="11" t="inlineStr">
        <is>
          <t>91.6%</t>
        </is>
      </c>
      <c r="G10" s="74" t="inlineStr">
        <is>
          <t>105.5%</t>
        </is>
      </c>
      <c r="H10" s="99" t="inlineStr">
        <is>
          <t>92.0%</t>
        </is>
      </c>
      <c r="I10" s="70" t="inlineStr">
        <is>
          <t>Lower = better; S1856 &gt; 100%; S386 QBE at 92.0%</t>
        </is>
      </c>
    </row>
    <row r="11" ht="20" customHeight="1">
      <c r="A11" s="68" t="inlineStr">
        <is>
          <t>Total Assets</t>
        </is>
      </c>
      <c r="B11" s="71" t="inlineStr">
        <is>
          <t>808,600</t>
        </is>
      </c>
      <c r="C11" s="71" t="inlineStr">
        <is>
          <t>1,809,921</t>
        </is>
      </c>
      <c r="D11" s="71" t="inlineStr">
        <is>
          <t>35,606</t>
        </is>
      </c>
      <c r="E11" s="71" t="inlineStr">
        <is>
          <t>2,299,300</t>
        </is>
      </c>
      <c r="F11" s="71" t="inlineStr">
        <is>
          <t>482,434</t>
        </is>
      </c>
      <c r="G11" s="71" t="inlineStr">
        <is>
          <t>235,168</t>
        </is>
      </c>
      <c r="H11" s="96" t="inlineStr">
        <is>
          <t>1,468,525</t>
        </is>
      </c>
      <c r="I11" s="70" t="inlineStr"/>
    </row>
    <row r="12" ht="20" customHeight="1">
      <c r="A12" s="68" t="inlineStr">
        <is>
          <t>Members Funds</t>
        </is>
      </c>
      <c r="B12" s="69" t="inlineStr">
        <is>
          <t>105,600</t>
        </is>
      </c>
      <c r="C12" s="69" t="inlineStr">
        <is>
          <t>463,441</t>
        </is>
      </c>
      <c r="D12" s="72" t="inlineStr">
        <is>
          <t>(134)</t>
        </is>
      </c>
      <c r="E12" s="69" t="inlineStr">
        <is>
          <t>201,500</t>
        </is>
      </c>
      <c r="F12" s="69" t="inlineStr">
        <is>
          <t>33,043</t>
        </is>
      </c>
      <c r="G12" s="72" t="inlineStr">
        <is>
          <t>(17,779)</t>
        </is>
      </c>
      <c r="H12" s="95" t="inlineStr">
        <is>
          <t>46,317</t>
        </is>
      </c>
      <c r="I12" s="70" t="inlineStr">
        <is>
          <t>S1856 &amp; S6110 Annual negative</t>
        </is>
      </c>
    </row>
    <row r="13" ht="20" customHeight="1">
      <c r="A13" s="68" t="inlineStr">
        <is>
          <t>Year</t>
        </is>
      </c>
      <c r="B13" s="71" t="inlineStr">
        <is>
          <t>2014</t>
        </is>
      </c>
      <c r="C13" s="71" t="inlineStr">
        <is>
          <t>2014</t>
        </is>
      </c>
      <c r="D13" s="71" t="inlineStr">
        <is>
          <t>2015</t>
        </is>
      </c>
      <c r="E13" s="71" t="inlineStr">
        <is>
          <t>2023</t>
        </is>
      </c>
      <c r="F13" s="71" t="inlineStr">
        <is>
          <t>2014</t>
        </is>
      </c>
      <c r="G13" s="71" t="inlineStr">
        <is>
          <t>2019</t>
        </is>
      </c>
      <c r="H13" s="96" t="inlineStr">
        <is>
          <t>2014</t>
        </is>
      </c>
      <c r="I13" s="70" t="inlineStr">
        <is>
          <t>Different years — not directly comparable</t>
        </is>
      </c>
    </row>
    <row r="14" ht="20" customHeight="1">
      <c r="A14" s="68" t="inlineStr">
        <is>
          <t>Report Type</t>
        </is>
      </c>
      <c r="B14" s="69" t="inlineStr">
        <is>
          <t>Annual</t>
        </is>
      </c>
      <c r="C14" s="69" t="inlineStr">
        <is>
          <t>Annual</t>
        </is>
      </c>
      <c r="D14" s="69" t="inlineStr">
        <is>
          <t>Annual</t>
        </is>
      </c>
      <c r="E14" s="69" t="inlineStr">
        <is>
          <t>Annual</t>
        </is>
      </c>
      <c r="F14" s="69" t="inlineStr">
        <is>
          <t>Annual</t>
        </is>
      </c>
      <c r="G14" s="69" t="inlineStr">
        <is>
          <t>Annual</t>
        </is>
      </c>
      <c r="H14" s="95" t="inlineStr">
        <is>
          <t>Annual</t>
        </is>
      </c>
      <c r="I14" s="70" t="inlineStr"/>
    </row>
    <row r="15" ht="20" customHeight="1">
      <c r="A15" s="68" t="inlineStr">
        <is>
          <t>Currency</t>
        </is>
      </c>
      <c r="B15" s="71" t="inlineStr">
        <is>
          <t>GBP</t>
        </is>
      </c>
      <c r="C15" s="71" t="inlineStr">
        <is>
          <t>GBP</t>
        </is>
      </c>
      <c r="D15" s="71" t="inlineStr">
        <is>
          <t>GBP</t>
        </is>
      </c>
      <c r="E15" s="71" t="inlineStr">
        <is>
          <t>USD</t>
        </is>
      </c>
      <c r="F15" s="71" t="inlineStr">
        <is>
          <t>GBP</t>
        </is>
      </c>
      <c r="G15" s="71" t="inlineStr">
        <is>
          <t>GBP</t>
        </is>
      </c>
      <c r="H15" s="96" t="inlineStr">
        <is>
          <t>GBP</t>
        </is>
      </c>
      <c r="I15" s="70" t="inlineStr">
        <is>
          <t>Only S623 in USD</t>
        </is>
      </c>
    </row>
    <row r="16" ht="20" customHeight="1">
      <c r="A16" s="68" t="inlineStr">
        <is>
          <t>Source</t>
        </is>
      </c>
      <c r="B16" s="69" t="inlineStr">
        <is>
          <t>PDF</t>
        </is>
      </c>
      <c r="C16" s="69" t="inlineStr">
        <is>
          <t>PDF</t>
        </is>
      </c>
      <c r="D16" s="69" t="inlineStr">
        <is>
          <t>PDF</t>
        </is>
      </c>
      <c r="E16" s="69" t="inlineStr">
        <is>
          <t>Excel upload</t>
        </is>
      </c>
      <c r="F16" s="69" t="inlineStr">
        <is>
          <t>Excel upload</t>
        </is>
      </c>
      <c r="G16" s="69" t="inlineStr">
        <is>
          <t>Excel upload</t>
        </is>
      </c>
      <c r="H16" s="95" t="inlineStr">
        <is>
          <t>PDF</t>
        </is>
      </c>
      <c r="I16" s="70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56" customWidth="1" min="3" max="3"/>
    <col width="24" customWidth="1" min="4" max="4"/>
    <col width="56" customWidth="1" min="5" max="5"/>
  </cols>
  <sheetData>
    <row r="1" ht="26" customHeight="1">
      <c r="A1" s="75" t="inlineStr">
        <is>
          <t>VERSION LOG  ·  Record every session where you add data</t>
        </is>
      </c>
    </row>
    <row r="2" ht="22" customHeight="1">
      <c r="A2" s="76" t="inlineStr">
        <is>
          <t>Date</t>
        </is>
      </c>
      <c r="B2" s="76" t="inlineStr">
        <is>
          <t>Syndicates Added</t>
        </is>
      </c>
      <c r="C2" s="76" t="inlineStr">
        <is>
          <t>PDFs / Files Processed</t>
        </is>
      </c>
      <c r="D2" s="76" t="inlineStr">
        <is>
          <t>Total Records</t>
        </is>
      </c>
      <c r="E2" s="76" t="inlineStr">
        <is>
          <t>Notes</t>
        </is>
      </c>
    </row>
    <row r="3" ht="22" customHeight="1">
      <c r="A3" s="77" t="inlineStr">
        <is>
          <t>04 May 2026</t>
        </is>
      </c>
      <c r="B3" s="77" t="inlineStr">
        <is>
          <t>1225, 2488, 6110</t>
        </is>
      </c>
      <c r="C3" s="77" t="inlineStr">
        <is>
          <t>Aegis_London.pdf + ACE_Underwriting_Agencies_Limited.pdf + pembroke.pdf</t>
        </is>
      </c>
      <c r="D3" s="77" t="inlineStr">
        <is>
          <t>4 records (3 syndicates)</t>
        </is>
      </c>
      <c r="E3" s="77" t="inlineStr">
        <is>
          <t>FOUNDING VERSION — master database created</t>
        </is>
      </c>
    </row>
    <row r="4" ht="22" customHeight="1">
      <c r="A4" s="78" t="inlineStr">
        <is>
          <t>05 May 2026</t>
        </is>
      </c>
      <c r="B4" s="78" t="inlineStr">
        <is>
          <t>623, 1274, 1856</t>
        </is>
      </c>
      <c r="C4" s="78" t="inlineStr">
        <is>
          <t>Beazley_Syndicate623_Analysis.xlsx + Lloyds_Syndicate_Analysis.xlsx</t>
        </is>
      </c>
      <c r="D4" s="78" t="inlineStr">
        <is>
          <t>7 records (6 syndicates) — +3 new records</t>
        </is>
      </c>
      <c r="E4" s="78" t="inlineStr">
        <is>
          <t>Merged 2 Excel uploads; Beazley in USD_000s; Antares &amp; Barbican in GBP_000s</t>
        </is>
      </c>
    </row>
    <row r="5" ht="20" customHeight="1">
      <c r="A5" s="100" t="inlineStr">
        <is>
          <t>07 May 2026</t>
        </is>
      </c>
      <c r="B5" s="100" t="inlineStr">
        <is>
          <t>386</t>
        </is>
      </c>
      <c r="C5" s="100" t="inlineStr">
        <is>
          <t>QBE_Underwriting_Limited.pdf</t>
        </is>
      </c>
      <c r="D5" s="100" t="inlineStr">
        <is>
          <t>8 records (7 syndicates) — +1 new record</t>
        </is>
      </c>
      <c r="E5" s="100" t="inlineStr">
        <is>
          <t>Added QBE Casualty Syn 386 FY2014; GBP_000s; CR 92.0%; Profit £47.5m; adverse reserve dev £23.2m</t>
        </is>
      </c>
    </row>
    <row r="6">
      <c r="A6" s="79" t="inlineStr">
        <is>
          <t>[Date]</t>
        </is>
      </c>
      <c r="B6" s="79" t="inlineStr">
        <is>
          <t>[Syn numbers]</t>
        </is>
      </c>
      <c r="C6" s="79" t="inlineStr">
        <is>
          <t>[Files processed]</t>
        </is>
      </c>
      <c r="D6" s="79" t="inlineStr">
        <is>
          <t>[Total records]</t>
        </is>
      </c>
      <c r="E6" s="79" t="inlineStr">
        <is>
          <t>[What changed]</t>
        </is>
      </c>
    </row>
    <row r="7" ht="24" customHeight="1"/>
    <row r="8">
      <c r="A8" s="80" t="inlineStr">
        <is>
          <t>RULE: Every time you add new PDFs or rows to the MASTER TABLE, add one log entry here. Track your database growth session by session.</t>
        </is>
      </c>
      <c r="B8" s="81" t="n"/>
      <c r="C8" s="81" t="n"/>
      <c r="D8" s="81" t="n"/>
      <c r="E8" s="82" t="n"/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2026-05-05T04:51:57Z</dcterms:created>
  <dcterms:modified xmlns:dcterms="http://purl.org/dc/terms/" xmlns:xsi="http://www.w3.org/2001/XMLSchema-instance" xsi:type="dcterms:W3CDTF">2026-05-07T03:59:41Z</dcterms:modified>
</cp:coreProperties>
</file>