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MASTER TABLE" sheetId="1" state="visible" r:id="rId1"/>
    <sheet xmlns:r="http://schemas.openxmlformats.org/officeDocument/2006/relationships" name="🗄️ SQL READY" sheetId="2" state="visible" r:id="rId2"/>
    <sheet xmlns:r="http://schemas.openxmlformats.org/officeDocument/2006/relationships" name="💡 Sample SQL Queries" sheetId="3" state="visible" r:id="rId3"/>
    <sheet xmlns:r="http://schemas.openxmlformats.org/officeDocument/2006/relationships" name="📊 COMPARISON DASHBOARD" sheetId="4" state="visible" r:id="rId4"/>
    <sheet xmlns:r="http://schemas.openxmlformats.org/officeDocument/2006/relationships" name="📝 VERS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;(0.0);&quot;-&quot;"/>
    <numFmt numFmtId="166" formatCode="0.00x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9"/>
    </font>
    <font>
      <name val="Arial"/>
      <b val="1"/>
      <color rgb="007030A0"/>
      <sz val="9"/>
    </font>
    <font>
      <name val="Arial"/>
      <b val="1"/>
      <color rgb="001F3864"/>
      <sz val="9"/>
    </font>
    <font>
      <name val="Arial"/>
      <color rgb="000070C0"/>
      <sz val="9"/>
    </font>
    <font>
      <name val="Arial"/>
      <b val="1"/>
      <color rgb="00C00000"/>
      <sz val="9"/>
    </font>
    <font>
      <name val="Arial"/>
      <color rgb="00000000"/>
      <sz val="9"/>
    </font>
    <font>
      <name val="Arial"/>
      <color rgb="00595959"/>
      <sz val="8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0070C0"/>
      <sz val="9"/>
    </font>
    <font>
      <name val="Arial"/>
      <b val="1"/>
      <color rgb="00000000"/>
      <sz val="9"/>
    </font>
    <font>
      <name val="Arial"/>
      <b val="1"/>
      <color rgb="00888888"/>
      <sz val="9"/>
    </font>
    <font>
      <name val="Arial"/>
      <color rgb="00C00000"/>
      <sz val="9"/>
    </font>
    <font>
      <name val="Arial"/>
      <b val="1"/>
      <color rgb="00375623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Courier New"/>
      <sz val="9"/>
    </font>
    <font>
      <name val="Arial"/>
      <b val="1"/>
      <color rgb="007030A0"/>
      <sz val="10"/>
    </font>
    <font>
      <name val="Arial"/>
      <b val="1"/>
      <color rgb="00FFFFFF"/>
      <sz val="13"/>
    </font>
    <font>
      <name val="Arial"/>
      <i val="1"/>
      <color rgb="00595959"/>
      <sz val="8"/>
    </font>
    <font>
      <name val="Arial"/>
      <i val="1"/>
      <color rgb="007030A0"/>
      <sz val="9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1A5276"/>
      </patternFill>
    </fill>
    <fill>
      <patternFill patternType="solid">
        <fgColor rgb="00FFF2CC"/>
      </patternFill>
    </fill>
    <fill>
      <patternFill patternType="solid">
        <fgColor rgb="00185FA5"/>
      </patternFill>
    </fill>
    <fill>
      <patternFill patternType="solid">
        <fgColor rgb="000F6E56"/>
      </patternFill>
    </fill>
    <fill>
      <patternFill patternType="solid">
        <fgColor rgb="00854F0B"/>
      </patternFill>
    </fill>
    <fill>
      <patternFill patternType="solid">
        <fgColor rgb="006E2C00"/>
      </patternFill>
    </fill>
    <fill>
      <patternFill patternType="solid">
        <fgColor rgb="00534AB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D9D9"/>
      </patternFill>
    </fill>
    <fill>
      <patternFill patternType="solid">
        <fgColor rgb="00D9EAD3"/>
      </patternFill>
    </fill>
    <fill>
      <patternFill patternType="solid">
        <fgColor rgb="00EAD1FA"/>
      </patternFill>
    </fill>
    <fill>
      <patternFill patternType="solid">
        <fgColor rgb="00C9A84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164" fontId="5" fillId="12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center" vertical="center" wrapText="1"/>
    </xf>
    <xf numFmtId="164" fontId="6" fillId="12" borderId="1" applyAlignment="1" pivotButton="0" quotePrefix="0" xfId="0">
      <alignment horizontal="right" vertical="center"/>
    </xf>
    <xf numFmtId="165" fontId="5" fillId="13" borderId="1" applyAlignment="1" pivotButton="0" quotePrefix="0" xfId="0">
      <alignment horizontal="right" vertical="center"/>
    </xf>
    <xf numFmtId="165" fontId="7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right" vertical="center"/>
    </xf>
    <xf numFmtId="165" fontId="7" fillId="15" borderId="1" applyAlignment="1" pivotButton="0" quotePrefix="0" xfId="0">
      <alignment horizontal="center" vertical="center" wrapText="1"/>
    </xf>
    <xf numFmtId="166" fontId="7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  <xf numFmtId="164" fontId="5" fillId="17" borderId="1" applyAlignment="1" pivotButton="0" quotePrefix="0" xfId="0">
      <alignment horizontal="right" vertical="center"/>
    </xf>
    <xf numFmtId="164" fontId="6" fillId="17" borderId="1" applyAlignment="1" pivotButton="0" quotePrefix="0" xfId="0">
      <alignment horizontal="right" vertical="center"/>
    </xf>
    <xf numFmtId="0" fontId="5" fillId="1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right" vertical="center"/>
    </xf>
    <xf numFmtId="165" fontId="5" fillId="13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2" fillId="19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164" fontId="7" fillId="12" borderId="1" applyAlignment="1" pivotButton="0" quotePrefix="0" xfId="0">
      <alignment horizontal="center" vertical="center" wrapText="1"/>
    </xf>
    <xf numFmtId="164" fontId="14" fillId="12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164" fontId="7" fillId="17" borderId="1" applyAlignment="1" pivotButton="0" quotePrefix="0" xfId="0">
      <alignment horizontal="center" vertical="center" wrapText="1"/>
    </xf>
    <xf numFmtId="164" fontId="14" fillId="17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 wrapText="1"/>
    </xf>
    <xf numFmtId="0" fontId="18" fillId="13" borderId="1" applyAlignment="1" pivotButton="0" quotePrefix="0" xfId="0">
      <alignment horizontal="left" vertical="top" wrapText="1"/>
    </xf>
    <xf numFmtId="0" fontId="18" fillId="20" borderId="1" applyAlignment="1" pivotButton="0" quotePrefix="0" xfId="0">
      <alignment horizontal="left" vertical="top" wrapText="1"/>
    </xf>
    <xf numFmtId="0" fontId="19" fillId="18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22" fillId="1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9" customWidth="1" min="4" max="4"/>
    <col width="20" customWidth="1" min="5" max="5"/>
    <col width="14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4" customWidth="1" min="13" max="13"/>
    <col width="14" customWidth="1" min="14" max="14"/>
    <col width="13" customWidth="1" min="15" max="15"/>
    <col width="12" customWidth="1" min="16" max="16"/>
    <col width="16" customWidth="1" min="17" max="17"/>
    <col width="16" customWidth="1" min="18" max="18"/>
    <col width="13" customWidth="1" min="19" max="19"/>
    <col width="13" customWidth="1" min="20" max="20"/>
    <col width="22" customWidth="1" min="21" max="21"/>
    <col width="50" customWidth="1" min="22" max="22"/>
  </cols>
  <sheetData>
    <row r="1" ht="34" customHeight="1">
      <c r="A1" s="1" t="inlineStr">
        <is>
          <t>LLOYD'S SYNDICATE MASTER DATABASE</t>
        </is>
      </c>
    </row>
    <row r="2" ht="18" customHeight="1">
      <c r="A2" s="2" t="inlineStr">
        <is>
          <t>PERMANENT MASTER  ·  Add new rows below Row 10 for every new PDF  ·  Do NOT delete or rename this sheet  ·  Last updated: 04 May 2026</t>
        </is>
      </c>
    </row>
    <row r="3" ht="16" customHeight="1">
      <c r="A3" s="3" t="inlineStr">
        <is>
          <t>✅  3 Syndicates  ·  4 Records  ·  Sources: Aegis_London.pdf | ACE_Underwriting_Agencies_Limited.pdf | pembroke.pdf</t>
        </is>
      </c>
    </row>
    <row r="4" ht="20" customHeight="1">
      <c r="A4" s="4" t="inlineStr">
        <is>
          <t>HOW TO ADD NEW DATA → Copy Row 11 (yellow template) → paste below → fill blue columns with values from your PDF → leave grey columns alone (auto-calc)</t>
        </is>
      </c>
    </row>
    <row r="5" ht="18" customHeight="1">
      <c r="A5" s="5" t="inlineStr">
        <is>
          <t>🔵  IDENTITY</t>
        </is>
      </c>
      <c r="F5" s="6" t="inlineStr">
        <is>
          <t>📊  P&amp;L METRICS</t>
        </is>
      </c>
      <c r="O5" s="7" t="inlineStr">
        <is>
          <t>📐  RATIOS</t>
        </is>
      </c>
      <c r="Q5" s="8" t="inlineStr">
        <is>
          <t>🏦  BALANCE SHEET</t>
        </is>
      </c>
      <c r="S5" s="9" t="inlineStr">
        <is>
          <t>⚙️  AUTO-CALC</t>
        </is>
      </c>
      <c r="U5" s="10" t="inlineStr">
        <is>
          <t>📁  METADATA</t>
        </is>
      </c>
    </row>
    <row r="6" ht="36" customHeight="1">
      <c r="A6" s="5" t="inlineStr">
        <is>
          <t>Syn
No.</t>
        </is>
      </c>
      <c r="B6" s="5" t="inlineStr">
        <is>
          <t>Syndicate
Name</t>
        </is>
      </c>
      <c r="C6" s="5" t="inlineStr">
        <is>
          <t>Managing
Agent</t>
        </is>
      </c>
      <c r="D6" s="5" t="inlineStr">
        <is>
          <t>Year</t>
        </is>
      </c>
      <c r="E6" s="5" t="inlineStr">
        <is>
          <t>Report
Type</t>
        </is>
      </c>
      <c r="F6" s="6" t="inlineStr">
        <is>
          <t>GWP
£000s</t>
        </is>
      </c>
      <c r="G6" s="6" t="inlineStr">
        <is>
          <t>NWP
£000s</t>
        </is>
      </c>
      <c r="H6" s="6" t="inlineStr">
        <is>
          <t>NEP
£000s</t>
        </is>
      </c>
      <c r="I6" s="6" t="inlineStr">
        <is>
          <t>Net Claims
£000s</t>
        </is>
      </c>
      <c r="J6" s="6" t="inlineStr">
        <is>
          <t>Net OpEx
£000s</t>
        </is>
      </c>
      <c r="K6" s="6" t="inlineStr">
        <is>
          <t>Inv Income
£000s</t>
        </is>
      </c>
      <c r="L6" s="6" t="inlineStr">
        <is>
          <t>UW Profit
£000s</t>
        </is>
      </c>
      <c r="M6" s="6" t="inlineStr">
        <is>
          <t>PBT
£000s</t>
        </is>
      </c>
      <c r="N6" s="6" t="inlineStr">
        <is>
          <t>NEP Check
£000s</t>
        </is>
      </c>
      <c r="O6" s="7" t="inlineStr">
        <is>
          <t>Combined
Ratio %</t>
        </is>
      </c>
      <c r="P6" s="7" t="inlineStr">
        <is>
          <t>Loss
Ratio %</t>
        </is>
      </c>
      <c r="Q6" s="8" t="inlineStr">
        <is>
          <t>Total Assets
£000s</t>
        </is>
      </c>
      <c r="R6" s="8" t="inlineStr">
        <is>
          <t>Members
Funds £000s</t>
        </is>
      </c>
      <c r="S6" s="9" t="inlineStr">
        <is>
          <t>Profit
Margin %</t>
        </is>
      </c>
      <c r="T6" s="9" t="inlineStr">
        <is>
          <t>Asset
Turnover</t>
        </is>
      </c>
      <c r="U6" s="10" t="inlineStr">
        <is>
          <t>Currency
&amp; Source</t>
        </is>
      </c>
      <c r="V6" s="10" t="inlineStr">
        <is>
          <t>Notes / Flags</t>
        </is>
      </c>
    </row>
    <row r="7" ht="22" customHeight="1">
      <c r="A7" s="11" t="inlineStr">
        <is>
          <t>1225</t>
        </is>
      </c>
      <c r="B7" s="12" t="inlineStr">
        <is>
          <t>AEGIS London</t>
        </is>
      </c>
      <c r="C7" s="12" t="inlineStr">
        <is>
          <t>AEGIS Managing Agency Ltd</t>
        </is>
      </c>
      <c r="D7" s="11" t="inlineStr">
        <is>
          <t>2014</t>
        </is>
      </c>
      <c r="E7" s="11" t="inlineStr">
        <is>
          <t>Annual Accounts</t>
        </is>
      </c>
      <c r="F7" s="13" t="n">
        <v>371000</v>
      </c>
      <c r="G7" s="13" t="n">
        <v>307000</v>
      </c>
      <c r="H7" s="14" t="n"/>
      <c r="I7" s="15" t="n">
        <v>-138400</v>
      </c>
      <c r="J7" s="15" t="n">
        <v>-108000</v>
      </c>
      <c r="K7" s="13" t="n">
        <v>12700</v>
      </c>
      <c r="L7" s="13" t="n">
        <v>47800</v>
      </c>
      <c r="M7" s="13" t="n">
        <v>60500</v>
      </c>
      <c r="N7" s="14">
        <f>IF(AND(F7&lt;&gt;"",G7&lt;&gt;""),F7-G7,"—")</f>
        <v/>
      </c>
      <c r="O7" s="16" t="n">
        <v>83.5</v>
      </c>
      <c r="P7" s="17">
        <f>IF(AND(H7&lt;&gt;0,H7&lt;&gt;""),ROUND(I7/H7*-100,1),"n/a")</f>
        <v/>
      </c>
      <c r="Q7" s="18" t="n">
        <v>808600</v>
      </c>
      <c r="R7" s="18" t="n">
        <v>105600</v>
      </c>
      <c r="S7" s="19">
        <f>IF(AND(F7&lt;&gt;0,F7&lt;&gt;""),ROUND(M7/F7*100,1),"n/a")</f>
        <v/>
      </c>
      <c r="T7" s="20">
        <f>IF(AND(Q7&lt;&gt;0,Q7&lt;&gt;""),ROUND(F7/Q7,2),"n/a")</f>
        <v/>
      </c>
      <c r="U7" s="21" t="inlineStr">
        <is>
          <t>GBP_000s (conv from £m) | Aegis_London.pdf — Annual Report FY2014</t>
        </is>
      </c>
      <c r="V7" s="21" t="inlineStr">
        <is>
          <t>CR 83.5%; profit £60.5m; investment income up £7.7m to £12.7m</t>
        </is>
      </c>
    </row>
    <row r="8" ht="22" customHeight="1">
      <c r="A8" s="11" t="inlineStr">
        <is>
          <t>2488</t>
        </is>
      </c>
      <c r="B8" s="12" t="inlineStr">
        <is>
          <t>ACE Underwriting Agencies</t>
        </is>
      </c>
      <c r="C8" s="12" t="inlineStr">
        <is>
          <t>ACE Underwriting Agencies Ltd</t>
        </is>
      </c>
      <c r="D8" s="11" t="inlineStr">
        <is>
          <t>2014</t>
        </is>
      </c>
      <c r="E8" s="11" t="inlineStr">
        <is>
          <t>Annual Accounts</t>
        </is>
      </c>
      <c r="F8" s="13" t="n">
        <v>375327</v>
      </c>
      <c r="G8" s="13" t="n">
        <v>294950</v>
      </c>
      <c r="H8" s="13" t="n">
        <v>295720</v>
      </c>
      <c r="I8" s="15" t="n">
        <v>-66101</v>
      </c>
      <c r="J8" s="15" t="n">
        <v>-116015</v>
      </c>
      <c r="K8" s="13" t="n">
        <v>41041</v>
      </c>
      <c r="L8" s="13" t="n">
        <v>113600</v>
      </c>
      <c r="M8" s="13" t="n">
        <v>154645</v>
      </c>
      <c r="N8" s="14">
        <f>IF(AND(F8&lt;&gt;"",G8&lt;&gt;""),F8-G8,"—")</f>
        <v/>
      </c>
      <c r="O8" s="16" t="n">
        <v>61.6</v>
      </c>
      <c r="P8" s="17">
        <f>IF(AND(H8&lt;&gt;0,H8&lt;&gt;""),ROUND(I8/H8*-100,1),"n/a")</f>
        <v/>
      </c>
      <c r="Q8" s="18" t="n">
        <v>1809921</v>
      </c>
      <c r="R8" s="18" t="n">
        <v>463441</v>
      </c>
      <c r="S8" s="19">
        <f>IF(AND(F8&lt;&gt;0,F8&lt;&gt;""),ROUND(M8/F8*100,1),"n/a")</f>
        <v/>
      </c>
      <c r="T8" s="20">
        <f>IF(AND(Q8&lt;&gt;0,Q8&lt;&gt;""),ROUND(F8/Q8,2),"n/a")</f>
        <v/>
      </c>
      <c r="U8" s="21" t="inlineStr">
        <is>
          <t>GBP_000s | ACE_Underwriting_Agencies_Limited.pdf — Annual Report FY2014</t>
        </is>
      </c>
      <c r="V8" s="21" t="inlineStr">
        <is>
          <t>Profit £154.6m; CR 61.6%; prior year releases £103.7m; investment return £41.0m</t>
        </is>
      </c>
    </row>
    <row r="9" ht="22" customHeight="1">
      <c r="A9" s="11" t="inlineStr">
        <is>
          <t>6110</t>
        </is>
      </c>
      <c r="B9" s="12" t="inlineStr">
        <is>
          <t>Pembroke</t>
        </is>
      </c>
      <c r="C9" s="12" t="inlineStr">
        <is>
          <t>Pembroke Managing Agency Ltd</t>
        </is>
      </c>
      <c r="D9" s="11" t="inlineStr">
        <is>
          <t>2015</t>
        </is>
      </c>
      <c r="E9" s="11" t="inlineStr">
        <is>
          <t>Annual Accounts</t>
        </is>
      </c>
      <c r="F9" s="22" t="n">
        <v>1140</v>
      </c>
      <c r="G9" s="22" t="n">
        <v>1009</v>
      </c>
      <c r="H9" s="22" t="n">
        <v>2874</v>
      </c>
      <c r="I9" s="23" t="n">
        <v>-618</v>
      </c>
      <c r="J9" s="23" t="n">
        <v>-1328</v>
      </c>
      <c r="K9" s="22" t="n">
        <v>227</v>
      </c>
      <c r="L9" s="24" t="n"/>
      <c r="M9" s="22" t="n">
        <v>1242</v>
      </c>
      <c r="N9" s="24">
        <f>IF(AND(F9&lt;&gt;"",G9&lt;&gt;""),F9-G9,"—")</f>
        <v/>
      </c>
      <c r="O9" s="16" t="n">
        <v>67.7</v>
      </c>
      <c r="P9" s="17">
        <f>IF(AND(H9&lt;&gt;0,H9&lt;&gt;""),ROUND(I9/H9*-100,1),"n/a")</f>
        <v/>
      </c>
      <c r="Q9" s="18" t="n">
        <v>35606</v>
      </c>
      <c r="R9" s="25" t="n">
        <v>-134</v>
      </c>
      <c r="S9" s="19">
        <f>IF(AND(F9&lt;&gt;0,F9&lt;&gt;""),ROUND(M9/F9*100,1),"n/a")</f>
        <v/>
      </c>
      <c r="T9" s="20">
        <f>IF(AND(Q9&lt;&gt;0,Q9&lt;&gt;""),ROUND(F9/Q9,2),"n/a")</f>
        <v/>
      </c>
      <c r="U9" s="21" t="inlineStr">
        <is>
          <t>GBP_000s | pembroke.pdf — Annual Accounts FY2015</t>
        </is>
      </c>
      <c r="V9" s="21" t="inlineStr">
        <is>
          <t>Syndicate ceased underwriting; 2013 YoA closed by RTC 31-Dec-2015; CR 67.7%</t>
        </is>
      </c>
    </row>
    <row r="10" ht="22" customHeight="1">
      <c r="A10" s="11" t="inlineStr">
        <is>
          <t>6110</t>
        </is>
      </c>
      <c r="B10" s="12" t="inlineStr">
        <is>
          <t>Pembroke</t>
        </is>
      </c>
      <c r="C10" s="12" t="inlineStr">
        <is>
          <t>Pembroke Managing Agency Ltd</t>
        </is>
      </c>
      <c r="D10" s="11" t="inlineStr">
        <is>
          <t>2013</t>
        </is>
      </c>
      <c r="E10" s="11" t="inlineStr">
        <is>
          <t>Closed UY (36 months)</t>
        </is>
      </c>
      <c r="F10" s="22" t="n">
        <v>40988</v>
      </c>
      <c r="G10" s="22" t="n">
        <v>32650</v>
      </c>
      <c r="H10" s="22" t="n">
        <v>32650</v>
      </c>
      <c r="I10" s="23" t="n">
        <v>-25221</v>
      </c>
      <c r="J10" s="23" t="n">
        <v>-11628</v>
      </c>
      <c r="K10" s="22" t="n">
        <v>593</v>
      </c>
      <c r="L10" s="24" t="n"/>
      <c r="M10" s="22" t="n">
        <v>922</v>
      </c>
      <c r="N10" s="24">
        <f>IF(AND(F10&lt;&gt;"",G10&lt;&gt;""),F10-G10,"—")</f>
        <v/>
      </c>
      <c r="O10" s="26" t="inlineStr">
        <is>
          <t>NULL</t>
        </is>
      </c>
      <c r="P10" s="17">
        <f>IF(AND(H10&lt;&gt;0,H10&lt;&gt;""),ROUND(I10/H10*-100,1),"n/a")</f>
        <v/>
      </c>
      <c r="Q10" s="18" t="n">
        <v>35264</v>
      </c>
      <c r="R10" s="18" t="n">
        <v>472</v>
      </c>
      <c r="S10" s="19">
        <f>IF(AND(F10&lt;&gt;0,F10&lt;&gt;""),ROUND(M10/F10*100,1),"n/a")</f>
        <v/>
      </c>
      <c r="T10" s="20">
        <f>IF(AND(Q10&lt;&gt;0,Q10&lt;&gt;""),ROUND(F10/Q10,2),"n/a")</f>
        <v/>
      </c>
      <c r="U10" s="21" t="inlineStr">
        <is>
          <t>GBP_000s | pembroke.pdf — 2013 Closed UY Accounts</t>
        </is>
      </c>
      <c r="V10" s="21" t="inlineStr">
        <is>
          <t>36-month closed year; RTC premium £10.5m to Syn 4000; profit 2.05% of allotted capacity</t>
        </is>
      </c>
    </row>
    <row r="11" ht="20" customHeight="1">
      <c r="A11" s="27" t="inlineStr">
        <is>
          <t>▼  ADD NEW ROWS BELOW THIS LINE  ·  Copy row 12 (yellow) ·  Fill blue columns  ·  Grey &amp; pink = auto-calculated, do not touch</t>
        </is>
      </c>
    </row>
    <row r="12" ht="20" customHeight="1">
      <c r="A12" s="28" t="inlineStr">
        <is>
          <t>▶</t>
        </is>
      </c>
      <c r="B12" s="28" t="inlineStr">
        <is>
          <t>[Syndicate No]</t>
        </is>
      </c>
      <c r="C12" s="28" t="inlineStr">
        <is>
          <t>[Managing Agent Name]</t>
        </is>
      </c>
      <c r="D12" s="28" t="inlineStr">
        <is>
          <t>[Year]</t>
        </is>
      </c>
      <c r="E12" s="28" t="inlineStr">
        <is>
          <t>[Annual/Closed UY]</t>
        </is>
      </c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>
        <f>IF(AND(F12&lt;&gt;"",G12&lt;&gt;""),F12-G12,"—")</f>
        <v/>
      </c>
      <c r="O12" s="28" t="n"/>
      <c r="P12" s="28">
        <f>IF(AND(H12&lt;&gt;0,H12&lt;&gt;""),ROUND(I12/H12*-100,1),"n/a")</f>
        <v/>
      </c>
      <c r="Q12" s="28" t="n"/>
      <c r="R12" s="28" t="n"/>
      <c r="S12" s="28">
        <f>IF(AND(F12&lt;&gt;0,F12&lt;&gt;""),ROUND(M12/F12*100,1),"n/a")</f>
        <v/>
      </c>
      <c r="T12" s="28">
        <f>IF(AND(Q12&lt;&gt;0,Q12&lt;&gt;""),ROUND(F12/Q12,2),"n/a")</f>
        <v/>
      </c>
      <c r="U12" s="28" t="inlineStr">
        <is>
          <t>[Currency | PDF filename]</t>
        </is>
      </c>
      <c r="V12" s="28" t="inlineStr">
        <is>
          <t>[Notes from report]</t>
        </is>
      </c>
    </row>
    <row r="14" ht="22" customHeight="1">
      <c r="A14" s="29" t="inlineStr">
        <is>
          <t>COLOUR GUIDE</t>
        </is>
      </c>
    </row>
    <row r="15" ht="18" customHeight="1">
      <c r="A15" s="30" t="inlineStr">
        <is>
          <t>Green rows</t>
        </is>
      </c>
      <c r="F15" s="31" t="inlineStr">
        <is>
          <t>Syndicates 1225 &amp; 2488 — FY2014 (AEGIS London &amp; ACE Underwriting)</t>
        </is>
      </c>
    </row>
    <row r="16" ht="18" customHeight="1">
      <c r="A16" s="32" t="inlineStr">
        <is>
          <t>Teal rows</t>
        </is>
      </c>
      <c r="F16" s="31" t="inlineStr">
        <is>
          <t>Syndicate 6110 — Pembroke (FY2015 Annual + 2013 Closed UY)</t>
        </is>
      </c>
    </row>
    <row r="17" ht="18" customHeight="1">
      <c r="A17" s="12" t="inlineStr">
        <is>
          <t>Blue cells</t>
        </is>
      </c>
      <c r="F17" s="31" t="inlineStr">
        <is>
          <t>IDENTITY section — Syndicate number, name, managing agent, year, report type</t>
        </is>
      </c>
    </row>
    <row r="18" ht="18" customHeight="1">
      <c r="A18" s="33" t="inlineStr">
        <is>
          <t>Orange cells</t>
        </is>
      </c>
      <c r="F18" s="31" t="inlineStr">
        <is>
          <t>BALANCE SHEET section — Total Assets &amp; Members' Funds</t>
        </is>
      </c>
    </row>
    <row r="19" ht="18" customHeight="1">
      <c r="A19" s="34" t="inlineStr">
        <is>
          <t>Pink cells</t>
        </is>
      </c>
      <c r="F19" s="31" t="inlineStr">
        <is>
          <t>AUTO-CALCULATED — formulas only, do NOT overwrite these cells</t>
        </is>
      </c>
    </row>
    <row r="20" ht="18" customHeight="1">
      <c r="A20" s="35" t="inlineStr">
        <is>
          <t>Yellow row</t>
        </is>
      </c>
      <c r="F20" s="31" t="inlineStr">
        <is>
          <t>TEMPLATE ROW 12 — copy this row downward for every new PDF you add</t>
        </is>
      </c>
    </row>
    <row r="21" ht="18" customHeight="1">
      <c r="A21" s="36" t="inlineStr">
        <is>
          <t>Purple bars</t>
        </is>
      </c>
      <c r="F21" s="31" t="inlineStr">
        <is>
          <t>INSTRUCTION banners — guide for adding data correctly</t>
        </is>
      </c>
    </row>
  </sheetData>
  <mergeCells count="26">
    <mergeCell ref="A2:V2"/>
    <mergeCell ref="F5:N5"/>
    <mergeCell ref="A15:E15"/>
    <mergeCell ref="A14:V14"/>
    <mergeCell ref="F16:V16"/>
    <mergeCell ref="F19:V19"/>
    <mergeCell ref="A4:V4"/>
    <mergeCell ref="A16:E16"/>
    <mergeCell ref="O5:P5"/>
    <mergeCell ref="Q5:R5"/>
    <mergeCell ref="F15:V15"/>
    <mergeCell ref="F21:V21"/>
    <mergeCell ref="F20:V20"/>
    <mergeCell ref="A18:E18"/>
    <mergeCell ref="F18:V18"/>
    <mergeCell ref="A21:E21"/>
    <mergeCell ref="A11:V11"/>
    <mergeCell ref="F17:V17"/>
    <mergeCell ref="A1:V1"/>
    <mergeCell ref="A5:E5"/>
    <mergeCell ref="A17:E17"/>
    <mergeCell ref="A20:E20"/>
    <mergeCell ref="S5:T5"/>
    <mergeCell ref="U5:V5"/>
    <mergeCell ref="A19:E19"/>
    <mergeCell ref="A3:V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3" customWidth="1" min="4" max="4"/>
    <col width="22" customWidth="1" min="5" max="5"/>
    <col width="13" customWidth="1" min="6" max="6"/>
    <col width="13" customWidth="1" min="7" max="7"/>
    <col width="13" customWidth="1" min="8" max="8"/>
    <col width="15" customWidth="1" min="9" max="9"/>
    <col width="14" customWidth="1" min="10" max="10"/>
    <col width="16" customWidth="1" min="11" max="11"/>
    <col width="14" customWidth="1" min="12" max="12"/>
    <col width="16" customWidth="1" min="13" max="13"/>
    <col width="18" customWidth="1" min="14" max="14"/>
    <col width="16" customWidth="1" min="15" max="15"/>
    <col width="17" customWidth="1" min="16" max="16"/>
    <col width="16" customWidth="1" min="17" max="17"/>
    <col width="44" customWidth="1" min="18" max="18"/>
    <col width="38" customWidth="1" min="19" max="19"/>
    <col width="36" customWidth="1" min="20" max="20"/>
    <col width="54" customWidth="1" min="21" max="21"/>
  </cols>
  <sheetData>
    <row r="1" ht="24" customHeight="1">
      <c r="A1" s="29" t="inlineStr">
        <is>
          <t>SQL-READY TABLE  ·  Plain values, no merged cells  ·  File → Save As → CSV → import into SQLite / BigQuery / Supabase</t>
        </is>
      </c>
    </row>
    <row r="2" ht="22" customHeight="1">
      <c r="A2" s="37" t="inlineStr">
        <is>
          <t>syndicate_number</t>
        </is>
      </c>
      <c r="B2" s="37" t="inlineStr">
        <is>
          <t>syndicate_name</t>
        </is>
      </c>
      <c r="C2" s="37" t="inlineStr">
        <is>
          <t>managing_agent</t>
        </is>
      </c>
      <c r="D2" s="37" t="inlineStr">
        <is>
          <t>year_of_account</t>
        </is>
      </c>
      <c r="E2" s="37" t="inlineStr">
        <is>
          <t>report_type</t>
        </is>
      </c>
      <c r="F2" s="37" t="inlineStr">
        <is>
          <t>gwp_000s</t>
        </is>
      </c>
      <c r="G2" s="37" t="inlineStr">
        <is>
          <t>nwp_000s</t>
        </is>
      </c>
      <c r="H2" s="37" t="inlineStr">
        <is>
          <t>nep_000s</t>
        </is>
      </c>
      <c r="I2" s="37" t="inlineStr">
        <is>
          <t>net_claims_000s</t>
        </is>
      </c>
      <c r="J2" s="37" t="inlineStr">
        <is>
          <t>net_opex_000s</t>
        </is>
      </c>
      <c r="K2" s="37" t="inlineStr">
        <is>
          <t>inv_income_000s</t>
        </is>
      </c>
      <c r="L2" s="37" t="inlineStr">
        <is>
          <t>uw_profit_000s</t>
        </is>
      </c>
      <c r="M2" s="37" t="inlineStr">
        <is>
          <t>pbt_000s</t>
        </is>
      </c>
      <c r="N2" s="37" t="inlineStr">
        <is>
          <t>combined_ratio_pct</t>
        </is>
      </c>
      <c r="O2" s="37" t="inlineStr">
        <is>
          <t>total_assets_000s</t>
        </is>
      </c>
      <c r="P2" s="37" t="inlineStr">
        <is>
          <t>members_funds_000s</t>
        </is>
      </c>
      <c r="Q2" s="37" t="inlineStr">
        <is>
          <t>currency_unit</t>
        </is>
      </c>
      <c r="R2" s="37" t="inlineStr">
        <is>
          <t>lines_of_business</t>
        </is>
      </c>
      <c r="S2" s="37" t="inlineStr">
        <is>
          <t>top_risk</t>
        </is>
      </c>
      <c r="T2" s="37" t="inlineStr">
        <is>
          <t>source_pdf</t>
        </is>
      </c>
      <c r="U2" s="37" t="inlineStr">
        <is>
          <t>notes</t>
        </is>
      </c>
    </row>
    <row r="3" ht="20" customHeight="1">
      <c r="A3" s="38" t="inlineStr">
        <is>
          <t>1225</t>
        </is>
      </c>
      <c r="B3" s="39" t="inlineStr">
        <is>
          <t>AEGIS London</t>
        </is>
      </c>
      <c r="C3" s="39" t="inlineStr">
        <is>
          <t>AEGIS Managing Agency Ltd</t>
        </is>
      </c>
      <c r="D3" s="38" t="inlineStr">
        <is>
          <t>2014</t>
        </is>
      </c>
      <c r="E3" s="38" t="inlineStr">
        <is>
          <t>Annual Accounts</t>
        </is>
      </c>
      <c r="F3" s="40" t="n">
        <v>371000</v>
      </c>
      <c r="G3" s="40" t="n">
        <v>307000</v>
      </c>
      <c r="H3" s="38" t="inlineStr">
        <is>
          <t>NULL</t>
        </is>
      </c>
      <c r="I3" s="41" t="n">
        <v>-138400</v>
      </c>
      <c r="J3" s="41" t="n">
        <v>-108000</v>
      </c>
      <c r="K3" s="40" t="n">
        <v>12700</v>
      </c>
      <c r="L3" s="40" t="n">
        <v>47800</v>
      </c>
      <c r="M3" s="40" t="n">
        <v>60500</v>
      </c>
      <c r="N3" s="40" t="n">
        <v>83.5</v>
      </c>
      <c r="O3" s="40" t="n">
        <v>808600</v>
      </c>
      <c r="P3" s="40" t="n">
        <v>105600</v>
      </c>
      <c r="Q3" s="38" t="inlineStr">
        <is>
          <t>GBP_000s_conv</t>
        </is>
      </c>
      <c r="R3" s="39" t="inlineStr">
        <is>
          <t>Casualty (32%); Property (68%)</t>
        </is>
      </c>
      <c r="S3" s="39" t="inlineStr">
        <is>
          <t>Underwriting Risk</t>
        </is>
      </c>
      <c r="T3" s="39" t="inlineStr">
        <is>
          <t>Aegis_London.pdf FY2014</t>
        </is>
      </c>
      <c r="U3" s="39" t="inlineStr">
        <is>
          <t>9th successive profit; CR 83.5%; investment income £12.7m</t>
        </is>
      </c>
    </row>
    <row r="4" ht="20" customHeight="1">
      <c r="A4" s="38" t="inlineStr">
        <is>
          <t>2488</t>
        </is>
      </c>
      <c r="B4" s="39" t="inlineStr">
        <is>
          <t>ACE Underwriting Agencies</t>
        </is>
      </c>
      <c r="C4" s="39" t="inlineStr">
        <is>
          <t>ACE Underwriting Agencies Ltd</t>
        </is>
      </c>
      <c r="D4" s="38" t="inlineStr">
        <is>
          <t>2014</t>
        </is>
      </c>
      <c r="E4" s="38" t="inlineStr">
        <is>
          <t>Annual Accounts</t>
        </is>
      </c>
      <c r="F4" s="40" t="n">
        <v>375327</v>
      </c>
      <c r="G4" s="40" t="n">
        <v>294950</v>
      </c>
      <c r="H4" s="40" t="n">
        <v>295720</v>
      </c>
      <c r="I4" s="41" t="n">
        <v>-66101</v>
      </c>
      <c r="J4" s="41" t="n">
        <v>-116015</v>
      </c>
      <c r="K4" s="40" t="n">
        <v>41041</v>
      </c>
      <c r="L4" s="40" t="n">
        <v>113600</v>
      </c>
      <c r="M4" s="40" t="n">
        <v>154645</v>
      </c>
      <c r="N4" s="40" t="n">
        <v>61.6</v>
      </c>
      <c r="O4" s="40" t="n">
        <v>1809921</v>
      </c>
      <c r="P4" s="40" t="n">
        <v>463441</v>
      </c>
      <c r="Q4" s="38" t="inlineStr">
        <is>
          <t>GBP_000s</t>
        </is>
      </c>
      <c r="R4" s="39" t="inlineStr">
        <is>
          <t>Property (37%); Financial Lines (22%); Marine (15%); Aviation (11%); Political Risk (5%)</t>
        </is>
      </c>
      <c r="S4" s="39" t="inlineStr">
        <is>
          <t>Insurance/Underwriting Risk; Financial Risk; Operational Risk</t>
        </is>
      </c>
      <c r="T4" s="39" t="inlineStr">
        <is>
          <t>ACE_Underwriting_Agencies_Limited.pdf FY2014</t>
        </is>
      </c>
      <c r="U4" s="39" t="inlineStr">
        <is>
          <t>Profit £154.6m; prior year releases £103.7m; CR 61.6%</t>
        </is>
      </c>
    </row>
    <row r="5" ht="20" customHeight="1">
      <c r="A5" s="42" t="inlineStr">
        <is>
          <t>6110</t>
        </is>
      </c>
      <c r="B5" s="43" t="inlineStr">
        <is>
          <t>Pembroke</t>
        </is>
      </c>
      <c r="C5" s="43" t="inlineStr">
        <is>
          <t>Pembroke Managing Agency Ltd</t>
        </is>
      </c>
      <c r="D5" s="42" t="inlineStr">
        <is>
          <t>2015</t>
        </is>
      </c>
      <c r="E5" s="42" t="inlineStr">
        <is>
          <t>Annual Accounts</t>
        </is>
      </c>
      <c r="F5" s="44" t="n">
        <v>1140</v>
      </c>
      <c r="G5" s="44" t="n">
        <v>1009</v>
      </c>
      <c r="H5" s="44" t="n">
        <v>2874</v>
      </c>
      <c r="I5" s="45" t="n">
        <v>-618</v>
      </c>
      <c r="J5" s="45" t="n">
        <v>-1328</v>
      </c>
      <c r="K5" s="44" t="n">
        <v>227</v>
      </c>
      <c r="L5" s="42" t="inlineStr">
        <is>
          <t>NULL</t>
        </is>
      </c>
      <c r="M5" s="44" t="n">
        <v>1242</v>
      </c>
      <c r="N5" s="44" t="n">
        <v>67.7</v>
      </c>
      <c r="O5" s="44" t="n">
        <v>35606</v>
      </c>
      <c r="P5" s="45" t="n">
        <v>-134</v>
      </c>
      <c r="Q5" s="42" t="inlineStr">
        <is>
          <t>GBP_000s</t>
        </is>
      </c>
      <c r="R5" s="43" t="inlineStr">
        <is>
          <t>Property Reinsurance; Cargo; Marine Re; War &amp; Terrorism; Political Risks</t>
        </is>
      </c>
      <c r="S5" s="43" t="inlineStr">
        <is>
          <t>Insurance Risk Underwriting; Reserving; Credit Risk</t>
        </is>
      </c>
      <c r="T5" s="43" t="inlineStr">
        <is>
          <t>pembroke.pdf Annual Accounts FY2015</t>
        </is>
      </c>
      <c r="U5" s="43" t="inlineStr">
        <is>
          <t>Syndicate ceased underwriting; closed by RTC 31-Dec-2015; CR 67.7%</t>
        </is>
      </c>
    </row>
    <row r="6" ht="20" customHeight="1">
      <c r="A6" s="42" t="inlineStr">
        <is>
          <t>6110</t>
        </is>
      </c>
      <c r="B6" s="43" t="inlineStr">
        <is>
          <t>Pembroke</t>
        </is>
      </c>
      <c r="C6" s="43" t="inlineStr">
        <is>
          <t>Pembroke Managing Agency Ltd</t>
        </is>
      </c>
      <c r="D6" s="42" t="inlineStr">
        <is>
          <t>2013</t>
        </is>
      </c>
      <c r="E6" s="42" t="inlineStr">
        <is>
          <t>Closed UY (36 months)</t>
        </is>
      </c>
      <c r="F6" s="44" t="n">
        <v>40988</v>
      </c>
      <c r="G6" s="44" t="n">
        <v>32650</v>
      </c>
      <c r="H6" s="44" t="n">
        <v>32650</v>
      </c>
      <c r="I6" s="45" t="n">
        <v>-25221</v>
      </c>
      <c r="J6" s="45" t="n">
        <v>-11628</v>
      </c>
      <c r="K6" s="44" t="n">
        <v>593</v>
      </c>
      <c r="L6" s="42" t="inlineStr">
        <is>
          <t>NULL</t>
        </is>
      </c>
      <c r="M6" s="44" t="n">
        <v>922</v>
      </c>
      <c r="N6" s="42" t="inlineStr">
        <is>
          <t>NULL</t>
        </is>
      </c>
      <c r="O6" s="44" t="n">
        <v>35264</v>
      </c>
      <c r="P6" s="44" t="n">
        <v>472</v>
      </c>
      <c r="Q6" s="42" t="inlineStr">
        <is>
          <t>GBP_000s</t>
        </is>
      </c>
      <c r="R6" s="43" t="inlineStr">
        <is>
          <t>Property Reinsurance; Cargo; Marine Re; War &amp; Terrorism; Political Risks</t>
        </is>
      </c>
      <c r="S6" s="43" t="inlineStr">
        <is>
          <t>Insurance Risk Reserving; RTC premium determination; Credit Risk</t>
        </is>
      </c>
      <c r="T6" s="43" t="inlineStr">
        <is>
          <t>pembroke.pdf 2013 Closed UY</t>
        </is>
      </c>
      <c r="U6" s="43" t="inlineStr">
        <is>
          <t>36-month closed year; RTC £10.5m to Syn 4000; profit 2.05% capacity</t>
        </is>
      </c>
    </row>
    <row r="8" ht="26" customHeight="1">
      <c r="A8" s="46" t="inlineStr">
        <is>
          <t>▶  NEXT STEP: File → Save As → CSV  →  Open DB Browser for SQLite  →  Import CSV as table named 'lloyd_syndicates'  →  Ask Claude any question to get the SQL instantly</t>
        </is>
      </c>
    </row>
  </sheetData>
  <mergeCells count="2">
    <mergeCell ref="A1:V1"/>
    <mergeCell ref="A8:U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4" customWidth="1" min="2" max="2"/>
  </cols>
  <sheetData>
    <row r="1" ht="28" customHeight="1">
      <c r="A1" s="47" t="inlineStr">
        <is>
          <t>SAMPLE SQL QUERIES  ·  Just tell Claude your question in plain English — Claude writes the SQL for you</t>
        </is>
      </c>
    </row>
    <row r="2" ht="22" customHeight="1">
      <c r="A2" s="48" t="inlineStr">
        <is>
          <t>Plain English Question</t>
        </is>
      </c>
      <c r="B2" s="48" t="inlineStr">
        <is>
          <t>SQL Query (ready to run)</t>
        </is>
      </c>
    </row>
    <row r="3" ht="62" customHeight="1">
      <c r="A3" s="49" t="inlineStr">
        <is>
          <t>Best combined ratio — all syndicates</t>
        </is>
      </c>
      <c r="B3" s="50" t="inlineStr">
        <is>
          <t>SELECT syndicate_name, year_of_account, combined_ratio_pct
FROM lloyd_syndicates
WHERE combined_ratio_pct &lt;&gt; 'NULL'
ORDER BY CAST(combined_ratio_pct AS FLOAT) ASC;</t>
        </is>
      </c>
    </row>
    <row r="4" ht="62" customHeight="1">
      <c r="A4" s="49" t="inlineStr">
        <is>
          <t>Most profitable syndicate</t>
        </is>
      </c>
      <c r="B4" s="51" t="inlineStr">
        <is>
          <t>SELECT syndicate_name, year_of_account, pbt_000s
FROM lloyd_syndicates
ORDER BY CAST(pbt_000s AS FLOAT) DESC;</t>
        </is>
      </c>
    </row>
    <row r="5" ht="62" customHeight="1">
      <c r="A5" s="49" t="inlineStr">
        <is>
          <t>Compare profit margins across syndicates</t>
        </is>
      </c>
      <c r="B5" s="50" t="inlineStr">
        <is>
          <t>SELECT syndicate_name, year_of_account,
  ROUND(CAST(pbt_000s AS FLOAT)/CAST(gwp_000s AS FLOAT)*100,1)
  AS profit_margin_pct
FROM lloyd_syndicates
ORDER BY profit_margin_pct DESC;</t>
        </is>
      </c>
    </row>
    <row r="6" ht="62" customHeight="1">
      <c r="A6" s="49" t="inlineStr">
        <is>
          <t>Total GWP across all syndicates</t>
        </is>
      </c>
      <c r="B6" s="51" t="inlineStr">
        <is>
          <t>SELECT year_of_account,
  SUM(CAST(gwp_000s AS FLOAT)) AS total_gwp_000s
FROM lloyd_syndicates
WHERE report_type = 'Annual Accounts'
GROUP BY year_of_account;</t>
        </is>
      </c>
    </row>
    <row r="7" ht="62" customHeight="1">
      <c r="A7" s="49" t="inlineStr">
        <is>
          <t>All data for Pembroke (Syn 6110)</t>
        </is>
      </c>
      <c r="B7" s="50" t="inlineStr">
        <is>
          <t>SELECT * FROM lloyd_syndicates
WHERE syndicate_number = '6110'
ORDER BY year_of_account;</t>
        </is>
      </c>
    </row>
    <row r="8" ht="62" customHeight="1">
      <c r="A8" s="49" t="inlineStr">
        <is>
          <t>Profitable syndicates only</t>
        </is>
      </c>
      <c r="B8" s="51" t="inlineStr">
        <is>
          <t>SELECT syndicate_name, year_of_account, pbt_000s
FROM lloyd_syndicates
WHERE CAST(pbt_000s AS FLOAT) &gt; 0
ORDER BY pbt_000s DESC;</t>
        </is>
      </c>
    </row>
    <row r="9" ht="62" customHeight="1">
      <c r="A9" s="49" t="inlineStr">
        <is>
          <t>Best investment income</t>
        </is>
      </c>
      <c r="B9" s="50" t="inlineStr">
        <is>
          <t>SELECT syndicate_name, year_of_account, inv_income_000s
FROM lloyd_syndicates
ORDER BY CAST(inv_income_000s AS FLOAT) DESC;</t>
        </is>
      </c>
    </row>
    <row r="10" ht="62" customHeight="1">
      <c r="A10" s="49" t="inlineStr">
        <is>
          <t>GWP vs Total Assets efficiency</t>
        </is>
      </c>
      <c r="B10" s="51" t="inlineStr">
        <is>
          <t>SELECT syndicate_name, year_of_account,
  ROUND(CAST(gwp_000s AS FLOAT)/CAST(total_assets_000s AS FLOAT)*100,1)
  AS gwp_to_assets_pct
FROM lloyd_syndicates
WHERE report_type = 'Annual Accounts'
ORDER BY gwp_to_assets_pct DESC;</t>
        </is>
      </c>
    </row>
    <row r="11" ht="62" customHeight="1">
      <c r="A11" s="49" t="inlineStr">
        <is>
          <t>Net claims as % of GWP</t>
        </is>
      </c>
      <c r="B11" s="50" t="inlineStr">
        <is>
          <t>SELECT syndicate_name, year_of_account,
  ROUND(ABS(CAST(net_claims_000s AS FLOAT))/
  CAST(gwp_000s AS FLOAT)*100,1) AS claims_pct_gwp
FROM lloyd_syndicates
ORDER BY claims_pct_gwp ASC;</t>
        </is>
      </c>
    </row>
    <row r="12" ht="62" customHeight="1">
      <c r="A12" s="49" t="inlineStr">
        <is>
          <t>Members funds trend per syndicate</t>
        </is>
      </c>
      <c r="B12" s="51" t="inlineStr">
        <is>
          <t>SELECT syndicate_name, year_of_account, members_funds_000s
FROM lloyd_syndicates
ORDER BY syndicate_name, year_of_account;</t>
        </is>
      </c>
    </row>
    <row r="13" ht="36" customHeight="1">
      <c r="A13" s="52" t="inlineStr">
        <is>
          <t>💡  TIP: You never need to type SQL yourself. Just ask Claude: 'which syndicate improved combined ratio most?' and get the exact query instantly. Works for any question.</t>
        </is>
      </c>
    </row>
  </sheetData>
  <mergeCells count="2">
    <mergeCell ref="A13:B13"/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4" customWidth="1" min="7" max="7"/>
  </cols>
  <sheetData>
    <row r="1" ht="30" customHeight="1">
      <c r="A1" s="53" t="inlineStr">
        <is>
          <t>COMPARISON DASHBOARD  ·  All 4 Records Side by Side</t>
        </is>
      </c>
    </row>
    <row r="2" ht="18" customHeight="1">
      <c r="A2" s="2" t="inlineStr">
        <is>
          <t>S1225 AEGIS (2014)  ·  S2488 ACE (2014)  ·  S6110 Pembroke Annual (2015)  ·  S6110 Pembroke Closed UY (2013)</t>
        </is>
      </c>
    </row>
    <row r="3" ht="36" customHeight="1">
      <c r="A3" s="48" t="inlineStr">
        <is>
          <t>Metric</t>
        </is>
      </c>
      <c r="B3" s="48" t="inlineStr">
        <is>
          <t>S1225 AEGIS
2014</t>
        </is>
      </c>
      <c r="C3" s="48" t="inlineStr">
        <is>
          <t>S2488 ACE
2014</t>
        </is>
      </c>
      <c r="D3" s="48" t="inlineStr">
        <is>
          <t>S6110 Pembroke
2015 Annual</t>
        </is>
      </c>
      <c r="E3" s="48" t="inlineStr">
        <is>
          <t>S6110 Pembroke
2013 Closed UY</t>
        </is>
      </c>
      <c r="F3" s="48" t="inlineStr">
        <is>
          <t>Best / Winner</t>
        </is>
      </c>
      <c r="G3" s="48" t="inlineStr">
        <is>
          <t>Notes</t>
        </is>
      </c>
    </row>
    <row r="4" ht="20" customHeight="1">
      <c r="A4" s="54" t="inlineStr">
        <is>
          <t>GWP (£000s)</t>
        </is>
      </c>
      <c r="B4" s="55" t="inlineStr">
        <is>
          <t>371,000</t>
        </is>
      </c>
      <c r="C4" s="55" t="inlineStr">
        <is>
          <t>375,327</t>
        </is>
      </c>
      <c r="D4" s="55" t="inlineStr">
        <is>
          <t>1,140</t>
        </is>
      </c>
      <c r="E4" s="55" t="inlineStr">
        <is>
          <t>40,988</t>
        </is>
      </c>
      <c r="F4" s="55" t="inlineStr">
        <is>
          <t>S2488</t>
        </is>
      </c>
      <c r="G4" s="56" t="inlineStr">
        <is>
          <t>All converted to £000s</t>
        </is>
      </c>
    </row>
    <row r="5" ht="20" customHeight="1">
      <c r="A5" s="54" t="inlineStr">
        <is>
          <t>Net Written Premium</t>
        </is>
      </c>
      <c r="B5" s="57" t="inlineStr">
        <is>
          <t>307,000</t>
        </is>
      </c>
      <c r="C5" s="57" t="inlineStr">
        <is>
          <t>294,950</t>
        </is>
      </c>
      <c r="D5" s="57" t="inlineStr">
        <is>
          <t>1,009</t>
        </is>
      </c>
      <c r="E5" s="57" t="inlineStr">
        <is>
          <t>32,650</t>
        </is>
      </c>
      <c r="F5" s="57" t="inlineStr">
        <is>
          <t>S2488</t>
        </is>
      </c>
      <c r="G5" s="56" t="inlineStr"/>
    </row>
    <row r="6" ht="20" customHeight="1">
      <c r="A6" s="54" t="inlineStr">
        <is>
          <t>Net Earned Premium</t>
        </is>
      </c>
      <c r="B6" s="55" t="inlineStr">
        <is>
          <t>n/a</t>
        </is>
      </c>
      <c r="C6" s="55" t="inlineStr">
        <is>
          <t>295,720</t>
        </is>
      </c>
      <c r="D6" s="55" t="inlineStr">
        <is>
          <t>2,874</t>
        </is>
      </c>
      <c r="E6" s="55" t="inlineStr">
        <is>
          <t>32,650</t>
        </is>
      </c>
      <c r="F6" s="55" t="inlineStr">
        <is>
          <t>S2488</t>
        </is>
      </c>
      <c r="G6" s="56" t="inlineStr">
        <is>
          <t>S1225 NEP not stated</t>
        </is>
      </c>
    </row>
    <row r="7" ht="20" customHeight="1">
      <c r="A7" s="54" t="inlineStr">
        <is>
          <t>Net Claims Incurred</t>
        </is>
      </c>
      <c r="B7" s="58" t="inlineStr">
        <is>
          <t>(138,400)</t>
        </is>
      </c>
      <c r="C7" s="58" t="inlineStr">
        <is>
          <t>(66,101)</t>
        </is>
      </c>
      <c r="D7" s="58" t="inlineStr">
        <is>
          <t>(618)</t>
        </is>
      </c>
      <c r="E7" s="58" t="inlineStr">
        <is>
          <t>(25,221)</t>
        </is>
      </c>
      <c r="F7" s="57" t="inlineStr">
        <is>
          <t>S6110 Annual</t>
        </is>
      </c>
      <c r="G7" s="56" t="inlineStr">
        <is>
          <t>Lowest loss = S6110 Annual</t>
        </is>
      </c>
    </row>
    <row r="8" ht="20" customHeight="1">
      <c r="A8" s="54" t="inlineStr">
        <is>
          <t>Net OpEx</t>
        </is>
      </c>
      <c r="B8" s="59" t="inlineStr">
        <is>
          <t>(108,000)</t>
        </is>
      </c>
      <c r="C8" s="59" t="inlineStr">
        <is>
          <t>(116,015)</t>
        </is>
      </c>
      <c r="D8" s="59" t="inlineStr">
        <is>
          <t>(1,328)</t>
        </is>
      </c>
      <c r="E8" s="59" t="inlineStr">
        <is>
          <t>(11,628)</t>
        </is>
      </c>
      <c r="F8" s="55" t="inlineStr">
        <is>
          <t>S6110 Annual</t>
        </is>
      </c>
      <c r="G8" s="56" t="inlineStr"/>
    </row>
    <row r="9" ht="20" customHeight="1">
      <c r="A9" s="54" t="inlineStr">
        <is>
          <t>Investment Income</t>
        </is>
      </c>
      <c r="B9" s="57" t="inlineStr">
        <is>
          <t>12,700</t>
        </is>
      </c>
      <c r="C9" s="57" t="inlineStr">
        <is>
          <t>41,041</t>
        </is>
      </c>
      <c r="D9" s="57" t="inlineStr">
        <is>
          <t>227</t>
        </is>
      </c>
      <c r="E9" s="57" t="inlineStr">
        <is>
          <t>593</t>
        </is>
      </c>
      <c r="F9" s="57" t="inlineStr">
        <is>
          <t>S2488</t>
        </is>
      </c>
      <c r="G9" s="56" t="inlineStr">
        <is>
          <t>S2488 highest return</t>
        </is>
      </c>
    </row>
    <row r="10" ht="20" customHeight="1">
      <c r="A10" s="54" t="inlineStr">
        <is>
          <t>Profit Before Tax</t>
        </is>
      </c>
      <c r="B10" s="11" t="inlineStr">
        <is>
          <t>60,500</t>
        </is>
      </c>
      <c r="C10" s="11" t="inlineStr">
        <is>
          <t>154,645</t>
        </is>
      </c>
      <c r="D10" s="11" t="inlineStr">
        <is>
          <t>1,242</t>
        </is>
      </c>
      <c r="E10" s="11" t="inlineStr">
        <is>
          <t>922</t>
        </is>
      </c>
      <c r="F10" s="60" t="inlineStr">
        <is>
          <t>✅ S2488</t>
        </is>
      </c>
      <c r="G10" s="56" t="inlineStr">
        <is>
          <t>All profitable</t>
        </is>
      </c>
    </row>
    <row r="11" ht="20" customHeight="1">
      <c r="A11" s="54" t="inlineStr">
        <is>
          <t>Combined Ratio %</t>
        </is>
      </c>
      <c r="B11" s="11" t="inlineStr">
        <is>
          <t>83.5%</t>
        </is>
      </c>
      <c r="C11" s="11" t="inlineStr">
        <is>
          <t>61.6%</t>
        </is>
      </c>
      <c r="D11" s="11" t="inlineStr">
        <is>
          <t>67.7%</t>
        </is>
      </c>
      <c r="E11" s="11" t="inlineStr">
        <is>
          <t>NULL</t>
        </is>
      </c>
      <c r="F11" s="60" t="inlineStr">
        <is>
          <t>✅ S2488</t>
        </is>
      </c>
      <c r="G11" s="56" t="inlineStr">
        <is>
          <t>Lower = better</t>
        </is>
      </c>
    </row>
    <row r="12" ht="20" customHeight="1">
      <c r="A12" s="54" t="inlineStr">
        <is>
          <t>Total Assets</t>
        </is>
      </c>
      <c r="B12" s="55" t="inlineStr">
        <is>
          <t>808,600</t>
        </is>
      </c>
      <c r="C12" s="55" t="inlineStr">
        <is>
          <t>1,809,921</t>
        </is>
      </c>
      <c r="D12" s="55" t="inlineStr">
        <is>
          <t>35,606</t>
        </is>
      </c>
      <c r="E12" s="55" t="inlineStr">
        <is>
          <t>35,264</t>
        </is>
      </c>
      <c r="F12" s="55" t="inlineStr">
        <is>
          <t>S2488</t>
        </is>
      </c>
      <c r="G12" s="56" t="inlineStr"/>
    </row>
    <row r="13" ht="20" customHeight="1">
      <c r="A13" s="54" t="inlineStr">
        <is>
          <t>Members' Funds</t>
        </is>
      </c>
      <c r="B13" s="57" t="inlineStr">
        <is>
          <t>105,600</t>
        </is>
      </c>
      <c r="C13" s="57" t="inlineStr">
        <is>
          <t>463,441</t>
        </is>
      </c>
      <c r="D13" s="58" t="inlineStr">
        <is>
          <t>(134)</t>
        </is>
      </c>
      <c r="E13" s="57" t="inlineStr">
        <is>
          <t>472</t>
        </is>
      </c>
      <c r="F13" s="57" t="inlineStr">
        <is>
          <t>S2488</t>
        </is>
      </c>
      <c r="G13" s="56" t="inlineStr">
        <is>
          <t>S6110 Annual slightly negative</t>
        </is>
      </c>
    </row>
    <row r="14" ht="20" customHeight="1">
      <c r="A14" s="54" t="inlineStr">
        <is>
          <t>Report Type</t>
        </is>
      </c>
      <c r="B14" s="55" t="inlineStr">
        <is>
          <t>Annual</t>
        </is>
      </c>
      <c r="C14" s="55" t="inlineStr">
        <is>
          <t>Annual</t>
        </is>
      </c>
      <c r="D14" s="55" t="inlineStr">
        <is>
          <t>Annual</t>
        </is>
      </c>
      <c r="E14" s="55" t="inlineStr">
        <is>
          <t>Closed UY 36m</t>
        </is>
      </c>
      <c r="F14" s="55" t="inlineStr">
        <is>
          <t>—</t>
        </is>
      </c>
      <c r="G14" s="56" t="inlineStr">
        <is>
          <t>Different accounting basis</t>
        </is>
      </c>
    </row>
    <row r="15" ht="20" customHeight="1">
      <c r="A15" s="54" t="inlineStr">
        <is>
          <t>Managing Agent</t>
        </is>
      </c>
      <c r="B15" s="57" t="inlineStr">
        <is>
          <t>AEGIS</t>
        </is>
      </c>
      <c r="C15" s="57" t="inlineStr">
        <is>
          <t>ACE UW</t>
        </is>
      </c>
      <c r="D15" s="57" t="inlineStr">
        <is>
          <t>Pembroke</t>
        </is>
      </c>
      <c r="E15" s="57" t="inlineStr">
        <is>
          <t>Pembroke</t>
        </is>
      </c>
      <c r="F15" s="57" t="inlineStr">
        <is>
          <t>—</t>
        </is>
      </c>
      <c r="G15" s="56" t="inlineStr"/>
    </row>
    <row r="16" ht="20" customHeight="1">
      <c r="A16" s="54" t="inlineStr">
        <is>
          <t>Source PDF</t>
        </is>
      </c>
      <c r="B16" s="55" t="inlineStr">
        <is>
          <t>Aegis_London.pdf</t>
        </is>
      </c>
      <c r="C16" s="55" t="inlineStr">
        <is>
          <t>ACE_UW_Agencies.pdf</t>
        </is>
      </c>
      <c r="D16" s="55" t="inlineStr">
        <is>
          <t>pembroke.pdf</t>
        </is>
      </c>
      <c r="E16" s="55" t="inlineStr">
        <is>
          <t>pembroke.pdf</t>
        </is>
      </c>
      <c r="F16" s="55" t="inlineStr">
        <is>
          <t>—</t>
        </is>
      </c>
      <c r="G16" s="56" t="inlineStr"/>
    </row>
  </sheetData>
  <mergeCells count="2">
    <mergeCell ref="A2:V2"/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50" customWidth="1" min="4" max="4"/>
    <col width="50" customWidth="1" min="5" max="5"/>
  </cols>
  <sheetData>
    <row r="1" ht="28" customHeight="1">
      <c r="A1" s="47" t="inlineStr">
        <is>
          <t>VERSION LOG  ·  Record every time you add new data  ·  One row per update session</t>
        </is>
      </c>
    </row>
    <row r="2" ht="22" customHeight="1">
      <c r="A2" s="48" t="inlineStr">
        <is>
          <t>Date</t>
        </is>
      </c>
      <c r="B2" s="48" t="inlineStr">
        <is>
          <t>Syndicates Added</t>
        </is>
      </c>
      <c r="C2" s="48" t="inlineStr">
        <is>
          <t>PDFs Processed</t>
        </is>
      </c>
      <c r="D2" s="48" t="inlineStr">
        <is>
          <t>Records Now in DB</t>
        </is>
      </c>
      <c r="E2" s="48" t="inlineStr">
        <is>
          <t>Notes</t>
        </is>
      </c>
    </row>
    <row r="3" ht="20" customHeight="1">
      <c r="A3" s="61" t="inlineStr">
        <is>
          <t>04 May 2026</t>
        </is>
      </c>
      <c r="B3" s="61" t="inlineStr">
        <is>
          <t>1225, 2488, 6110</t>
        </is>
      </c>
      <c r="C3" s="61" t="inlineStr">
        <is>
          <t>Aegis_London.pdf + ACE_Underwriting_Agencies_Limited.pdf + pembroke.pdf</t>
        </is>
      </c>
      <c r="D3" s="61" t="inlineStr">
        <is>
          <t>4 records (3 syndicates)</t>
        </is>
      </c>
      <c r="E3" s="61" t="inlineStr">
        <is>
          <t>FOUNDING VERSION — master database created</t>
        </is>
      </c>
    </row>
    <row r="4" ht="20" customHeight="1">
      <c r="A4" s="62" t="inlineStr">
        <is>
          <t>[Date]</t>
        </is>
      </c>
      <c r="B4" s="62" t="inlineStr">
        <is>
          <t>[Syn numbers]</t>
        </is>
      </c>
      <c r="C4" s="62" t="inlineStr">
        <is>
          <t>[PDF filenames]</t>
        </is>
      </c>
      <c r="D4" s="62" t="inlineStr">
        <is>
          <t>[Total records now]</t>
        </is>
      </c>
      <c r="E4" s="62" t="inlineStr">
        <is>
          <t>[What you added]</t>
        </is>
      </c>
    </row>
    <row r="6" ht="28" customHeight="1">
      <c r="A6" s="63" t="inlineStr">
        <is>
          <t>INSTRUCTIONS: Every time you add a new PDF / new rows to the MASTER TABLE, come to this sheet and add one log entry. This keeps a clean history of your database growth.</t>
        </is>
      </c>
    </row>
  </sheetData>
  <mergeCells count="2">
    <mergeCell ref="A6:E6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2026-05-04T09:52:23Z</dcterms:created>
  <dcterms:modified xmlns:dcterms="http://purl.org/dc/terms/" xmlns:xsi="http://www.w3.org/2001/XMLSchema-instance" xsi:type="dcterms:W3CDTF">2026-05-04T09:52:23Z</dcterms:modified>
</cp:coreProperties>
</file>